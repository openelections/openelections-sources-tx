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\Documents\2018 Primary Election\Returns\"/>
    </mc:Choice>
  </mc:AlternateContent>
  <bookViews>
    <workbookView xWindow="0" yWindow="0" windowWidth="28800" windowHeight="13020" activeTab="1"/>
  </bookViews>
  <sheets>
    <sheet name="Dem" sheetId="1" r:id="rId1"/>
    <sheet name="Rep" sheetId="2" r:id="rId2"/>
  </sheets>
  <calcPr calcId="152511"/>
</workbook>
</file>

<file path=xl/calcChain.xml><?xml version="1.0" encoding="utf-8"?>
<calcChain xmlns="http://schemas.openxmlformats.org/spreadsheetml/2006/main">
  <c r="N148" i="2" l="1"/>
  <c r="N147" i="2"/>
  <c r="N85" i="2"/>
  <c r="O154" i="2"/>
  <c r="O153" i="2"/>
  <c r="O157" i="2"/>
  <c r="O156" i="2"/>
  <c r="O151" i="2"/>
  <c r="O150" i="2"/>
  <c r="O148" i="2"/>
  <c r="Q148" i="2" s="1"/>
  <c r="O147" i="2"/>
  <c r="Q147" i="2" s="1"/>
  <c r="O145" i="2"/>
  <c r="O144" i="2"/>
  <c r="O142" i="2"/>
  <c r="O141" i="2"/>
  <c r="O139" i="2"/>
  <c r="O138" i="2"/>
  <c r="O136" i="2"/>
  <c r="O135" i="2"/>
  <c r="O131" i="2"/>
  <c r="O130" i="2"/>
  <c r="O128" i="2"/>
  <c r="O127" i="2"/>
  <c r="O125" i="2"/>
  <c r="O124" i="2"/>
  <c r="O115" i="2"/>
  <c r="O118" i="2"/>
  <c r="O112" i="2"/>
  <c r="O109" i="2"/>
  <c r="O106" i="2"/>
  <c r="O105" i="2"/>
  <c r="O104" i="2"/>
  <c r="O95" i="2"/>
  <c r="O92" i="2"/>
  <c r="O89" i="2"/>
  <c r="O85" i="2"/>
  <c r="O84" i="2"/>
  <c r="O81" i="2"/>
  <c r="O78" i="2"/>
  <c r="O75" i="2"/>
  <c r="O72" i="2"/>
  <c r="O71" i="2"/>
  <c r="O70" i="2"/>
  <c r="O65" i="2"/>
  <c r="O62" i="2"/>
  <c r="O61" i="2"/>
  <c r="O56" i="2"/>
  <c r="O53" i="2"/>
  <c r="O50" i="2"/>
  <c r="O47" i="2"/>
  <c r="O46" i="2"/>
  <c r="O43" i="2"/>
  <c r="O42" i="2"/>
  <c r="O41" i="2"/>
  <c r="O38" i="2"/>
  <c r="O37" i="2"/>
  <c r="O36" i="2"/>
  <c r="O35" i="2"/>
  <c r="O29" i="2"/>
  <c r="O26" i="2"/>
  <c r="O23" i="2"/>
  <c r="O22" i="2"/>
  <c r="O19" i="2"/>
  <c r="O18" i="2"/>
  <c r="O17" i="2"/>
  <c r="O14" i="2"/>
  <c r="O11" i="2"/>
  <c r="O10" i="2"/>
  <c r="O9" i="2"/>
  <c r="O8" i="2"/>
  <c r="O7" i="2"/>
  <c r="N157" i="2"/>
  <c r="N156" i="2"/>
  <c r="N154" i="2"/>
  <c r="N153" i="2"/>
  <c r="N151" i="2"/>
  <c r="Q151" i="2" s="1"/>
  <c r="N150" i="2"/>
  <c r="Q150" i="2" s="1"/>
  <c r="N145" i="2"/>
  <c r="N144" i="2"/>
  <c r="N142" i="2"/>
  <c r="N141" i="2"/>
  <c r="N139" i="2"/>
  <c r="N138" i="2"/>
  <c r="N136" i="2"/>
  <c r="N135" i="2"/>
  <c r="N131" i="2"/>
  <c r="N130" i="2"/>
  <c r="N128" i="2"/>
  <c r="N127" i="2"/>
  <c r="N125" i="2"/>
  <c r="N124" i="2"/>
  <c r="N118" i="2"/>
  <c r="N115" i="2"/>
  <c r="N112" i="2"/>
  <c r="N109" i="2"/>
  <c r="N106" i="2"/>
  <c r="N105" i="2"/>
  <c r="N104" i="2"/>
  <c r="N95" i="2"/>
  <c r="N92" i="2"/>
  <c r="N89" i="2"/>
  <c r="N84" i="2"/>
  <c r="N81" i="2"/>
  <c r="N78" i="2"/>
  <c r="N75" i="2"/>
  <c r="N72" i="2"/>
  <c r="N71" i="2"/>
  <c r="N70" i="2"/>
  <c r="N65" i="2"/>
  <c r="N62" i="2"/>
  <c r="N61" i="2"/>
  <c r="N56" i="2"/>
  <c r="N53" i="2"/>
  <c r="N50" i="2"/>
  <c r="N47" i="2"/>
  <c r="N46" i="2"/>
  <c r="N43" i="2"/>
  <c r="N42" i="2"/>
  <c r="N41" i="2"/>
  <c r="N38" i="2"/>
  <c r="N37" i="2"/>
  <c r="N36" i="2"/>
  <c r="N35" i="2"/>
  <c r="N29" i="2"/>
  <c r="N26" i="2"/>
  <c r="N23" i="2"/>
  <c r="N22" i="2"/>
  <c r="N19" i="2"/>
  <c r="N18" i="2"/>
  <c r="N17" i="2"/>
  <c r="N14" i="2"/>
  <c r="N11" i="2"/>
  <c r="N10" i="2"/>
  <c r="N9" i="2"/>
  <c r="N8" i="2"/>
  <c r="N7" i="2"/>
  <c r="O3" i="2"/>
  <c r="N3" i="2"/>
  <c r="O109" i="1"/>
  <c r="O108" i="1"/>
  <c r="O106" i="1"/>
  <c r="O105" i="1"/>
  <c r="O103" i="1"/>
  <c r="O102" i="1"/>
  <c r="O97" i="1"/>
  <c r="O96" i="1"/>
  <c r="O94" i="1"/>
  <c r="O93" i="1"/>
  <c r="O91" i="1"/>
  <c r="O90" i="1"/>
  <c r="O88" i="1"/>
  <c r="O87" i="1"/>
  <c r="O85" i="1"/>
  <c r="O84" i="1"/>
  <c r="O82" i="1"/>
  <c r="O81" i="1"/>
  <c r="O79" i="1"/>
  <c r="O78" i="1"/>
  <c r="O76" i="1"/>
  <c r="O75" i="1"/>
  <c r="O73" i="1"/>
  <c r="O72" i="1"/>
  <c r="O66" i="1"/>
  <c r="O62" i="1"/>
  <c r="O59" i="1"/>
  <c r="O56" i="1"/>
  <c r="O53" i="1"/>
  <c r="O50" i="1"/>
  <c r="O47" i="1"/>
  <c r="O46" i="1"/>
  <c r="O43" i="1"/>
  <c r="O40" i="1"/>
  <c r="O39" i="1"/>
  <c r="Q39" i="1" s="1"/>
  <c r="O34" i="1"/>
  <c r="O33" i="1"/>
  <c r="O30" i="1"/>
  <c r="O27" i="1"/>
  <c r="O26" i="1"/>
  <c r="N109" i="1"/>
  <c r="Q109" i="1" s="1"/>
  <c r="N108" i="1"/>
  <c r="Q108" i="1" s="1"/>
  <c r="N106" i="1"/>
  <c r="Q106" i="1" s="1"/>
  <c r="N105" i="1"/>
  <c r="N103" i="1"/>
  <c r="Q103" i="1" s="1"/>
  <c r="N102" i="1"/>
  <c r="Q102" i="1" s="1"/>
  <c r="N97" i="1"/>
  <c r="Q97" i="1" s="1"/>
  <c r="N96" i="1"/>
  <c r="Q96" i="1" s="1"/>
  <c r="N94" i="1"/>
  <c r="N93" i="1"/>
  <c r="Q93" i="1" s="1"/>
  <c r="N91" i="1"/>
  <c r="Q91" i="1" s="1"/>
  <c r="N90" i="1"/>
  <c r="Q90" i="1" s="1"/>
  <c r="N88" i="1"/>
  <c r="Q88" i="1" s="1"/>
  <c r="N87" i="1"/>
  <c r="Q87" i="1" s="1"/>
  <c r="N85" i="1"/>
  <c r="Q85" i="1" s="1"/>
  <c r="N84" i="1"/>
  <c r="Q84" i="1" s="1"/>
  <c r="N82" i="1"/>
  <c r="Q82" i="1" s="1"/>
  <c r="N81" i="1"/>
  <c r="Q81" i="1" s="1"/>
  <c r="N79" i="1"/>
  <c r="Q79" i="1" s="1"/>
  <c r="N78" i="1"/>
  <c r="Q78" i="1" s="1"/>
  <c r="N76" i="1"/>
  <c r="Q76" i="1" s="1"/>
  <c r="N75" i="1"/>
  <c r="N73" i="1"/>
  <c r="N72" i="1"/>
  <c r="N66" i="1"/>
  <c r="Q66" i="1" s="1"/>
  <c r="N62" i="1"/>
  <c r="Q62" i="1" s="1"/>
  <c r="N59" i="1"/>
  <c r="Q59" i="1" s="1"/>
  <c r="N56" i="1"/>
  <c r="N53" i="1"/>
  <c r="Q53" i="1" s="1"/>
  <c r="N50" i="1"/>
  <c r="Q50" i="1" s="1"/>
  <c r="N47" i="1"/>
  <c r="N46" i="1"/>
  <c r="N43" i="1"/>
  <c r="Q43" i="1" s="1"/>
  <c r="N40" i="1"/>
  <c r="N39" i="1"/>
  <c r="N34" i="1"/>
  <c r="N33" i="1"/>
  <c r="N30" i="1"/>
  <c r="N27" i="1"/>
  <c r="N26" i="1"/>
  <c r="O23" i="1"/>
  <c r="O22" i="1"/>
  <c r="O21" i="1"/>
  <c r="O20" i="1"/>
  <c r="O19" i="1"/>
  <c r="O18" i="1"/>
  <c r="O17" i="1"/>
  <c r="O16" i="1"/>
  <c r="O15" i="1"/>
  <c r="N23" i="1"/>
  <c r="N22" i="1"/>
  <c r="N21" i="1"/>
  <c r="N20" i="1"/>
  <c r="N19" i="1"/>
  <c r="N18" i="1"/>
  <c r="N17" i="1"/>
  <c r="N16" i="1"/>
  <c r="N15" i="1"/>
  <c r="O12" i="1"/>
  <c r="N12" i="1"/>
  <c r="N9" i="1"/>
  <c r="O9" i="1"/>
  <c r="O8" i="1"/>
  <c r="O7" i="1"/>
  <c r="N8" i="1"/>
  <c r="N7" i="1"/>
  <c r="N3" i="1"/>
  <c r="O3" i="1"/>
  <c r="Q105" i="1" l="1"/>
  <c r="Q94" i="1"/>
  <c r="Q72" i="1"/>
  <c r="Q56" i="1"/>
  <c r="Q12" i="1"/>
  <c r="Q75" i="1"/>
  <c r="Q73" i="1"/>
  <c r="Q47" i="1"/>
  <c r="Q46" i="1"/>
  <c r="Q72" i="2"/>
  <c r="Q84" i="2"/>
  <c r="Q124" i="2"/>
  <c r="Q130" i="2"/>
  <c r="Q19" i="2"/>
  <c r="Q29" i="2"/>
  <c r="Q38" i="2"/>
  <c r="Q46" i="2"/>
  <c r="Q156" i="2"/>
  <c r="Q62" i="2"/>
  <c r="Q95" i="2"/>
  <c r="Q109" i="2"/>
  <c r="Q138" i="2"/>
  <c r="Q144" i="2"/>
  <c r="Q14" i="2"/>
  <c r="Q22" i="2"/>
  <c r="Q35" i="2"/>
  <c r="Q41" i="2"/>
  <c r="Q47" i="2"/>
  <c r="Q61" i="2"/>
  <c r="Q71" i="2"/>
  <c r="Q81" i="2"/>
  <c r="Q92" i="2"/>
  <c r="Q106" i="2"/>
  <c r="Q118" i="2"/>
  <c r="Q128" i="2"/>
  <c r="Q136" i="2"/>
  <c r="Q142" i="2"/>
  <c r="Q157" i="2"/>
  <c r="Q53" i="2"/>
  <c r="Q65" i="2"/>
  <c r="Q75" i="2"/>
  <c r="Q85" i="2"/>
  <c r="Q104" i="2"/>
  <c r="Q112" i="2"/>
  <c r="Q125" i="2"/>
  <c r="Q131" i="2"/>
  <c r="Q139" i="2"/>
  <c r="Q145" i="2"/>
  <c r="Q9" i="2"/>
  <c r="Q17" i="2"/>
  <c r="Q23" i="2"/>
  <c r="Q36" i="2"/>
  <c r="Q42" i="2"/>
  <c r="Q153" i="2"/>
  <c r="Q56" i="2"/>
  <c r="Q70" i="2"/>
  <c r="Q78" i="2"/>
  <c r="Q89" i="2"/>
  <c r="Q105" i="2"/>
  <c r="Q127" i="2"/>
  <c r="Q135" i="2"/>
  <c r="Q141" i="2"/>
  <c r="Q18" i="2"/>
  <c r="Q26" i="2"/>
  <c r="Q37" i="2"/>
  <c r="Q154" i="2"/>
  <c r="Q115" i="2"/>
  <c r="Q10" i="2"/>
  <c r="Q43" i="2"/>
  <c r="Q50" i="2"/>
  <c r="Q11" i="2"/>
  <c r="Q8" i="2"/>
  <c r="Q7" i="2"/>
  <c r="Q3" i="2"/>
  <c r="Q15" i="1"/>
  <c r="Q20" i="1"/>
  <c r="Q23" i="1"/>
  <c r="Q26" i="1"/>
  <c r="Q30" i="1"/>
  <c r="Q33" i="1"/>
  <c r="Q34" i="1"/>
  <c r="Q40" i="1"/>
  <c r="Q27" i="1"/>
  <c r="Q22" i="1"/>
  <c r="Q21" i="1"/>
  <c r="Q19" i="1"/>
  <c r="Q18" i="1"/>
  <c r="Q17" i="1"/>
  <c r="Q16" i="1"/>
  <c r="Q9" i="1"/>
  <c r="Q8" i="1"/>
  <c r="Q7" i="1"/>
  <c r="Q3" i="1"/>
  <c r="O169" i="2" l="1"/>
  <c r="Q169" i="2" s="1"/>
</calcChain>
</file>

<file path=xl/sharedStrings.xml><?xml version="1.0" encoding="utf-8"?>
<sst xmlns="http://schemas.openxmlformats.org/spreadsheetml/2006/main" count="494" uniqueCount="195">
  <si>
    <t>Early Vote</t>
  </si>
  <si>
    <t>Elec Day</t>
  </si>
  <si>
    <t>Combined</t>
  </si>
  <si>
    <t>Contests/Candidates</t>
  </si>
  <si>
    <t>EV</t>
  </si>
  <si>
    <t>Totals</t>
  </si>
  <si>
    <t>Voter Turnout:</t>
  </si>
  <si>
    <t>Statistics</t>
  </si>
  <si>
    <t>Registered Voters</t>
  </si>
  <si>
    <t xml:space="preserve"> Overall Voter Turnout</t>
  </si>
  <si>
    <t>Overall Voter Turnout Percentage (%)</t>
  </si>
  <si>
    <t>Early Vote Mail Ballots Requested</t>
  </si>
  <si>
    <t>Early Vote Mail Ballots Mailed</t>
  </si>
  <si>
    <t>Early Vote Mail Ballots Counted</t>
  </si>
  <si>
    <t>Provisional Ballots Cast</t>
  </si>
  <si>
    <t>Provisional Ballots Accepted/Counted</t>
  </si>
  <si>
    <t xml:space="preserve">                        Provisional Ballots Rejected</t>
  </si>
  <si>
    <t>Early Voter in-person turn-out by day</t>
  </si>
  <si>
    <t>ED</t>
  </si>
  <si>
    <t xml:space="preserve"> Precinct  1</t>
  </si>
  <si>
    <t xml:space="preserve">  Precinct  2</t>
  </si>
  <si>
    <t xml:space="preserve"> Precinct  3</t>
  </si>
  <si>
    <t xml:space="preserve">  Precinct  4</t>
  </si>
  <si>
    <t xml:space="preserve"> Precinct  5</t>
  </si>
  <si>
    <t xml:space="preserve"> Precinct  6</t>
  </si>
  <si>
    <t>United States Senator</t>
  </si>
  <si>
    <t>(Senador de los Estados Unidos)</t>
  </si>
  <si>
    <t>U.S Representative District 19</t>
  </si>
  <si>
    <t>(Representante de los Estados Unidos, Distrito Num. 19)</t>
  </si>
  <si>
    <r>
      <t xml:space="preserve">STATE </t>
    </r>
    <r>
      <rPr>
        <i/>
        <sz val="12"/>
        <color indexed="8"/>
        <rFont val="Arial"/>
        <family val="2"/>
      </rPr>
      <t>(Estado)</t>
    </r>
  </si>
  <si>
    <t>Governor (Gobernador)</t>
  </si>
  <si>
    <t>Lieutenant Governor</t>
  </si>
  <si>
    <t>(Governador Teniente)</t>
  </si>
  <si>
    <t>Attorney General</t>
  </si>
  <si>
    <t>(Procurador General)</t>
  </si>
  <si>
    <t>Comptroller of Public Accounts</t>
  </si>
  <si>
    <t>(Contralor de Cuentas Publicas)</t>
  </si>
  <si>
    <t>Mike Collier</t>
  </si>
  <si>
    <t>Commissioner of the General Land Office</t>
  </si>
  <si>
    <t>(Comisionado de la Oficina General de Tierras)</t>
  </si>
  <si>
    <t>Commissioner of Agriculture</t>
  </si>
  <si>
    <t>(Comisionado de Agricultura)</t>
  </si>
  <si>
    <t>Jim Hogan</t>
  </si>
  <si>
    <t>Railroad Commissioner</t>
  </si>
  <si>
    <t>(Comisionado de Ferrocarriles)</t>
  </si>
  <si>
    <t>(Juez Presidente, Corte Suprema)</t>
  </si>
  <si>
    <t>Justice, Supreme Court, Place 6</t>
  </si>
  <si>
    <t>(Juez, Corte Suprema, Lugar Num. 6)</t>
  </si>
  <si>
    <t>(Juez, Corte Suprema, Lugar Num. 7)</t>
  </si>
  <si>
    <t>County Commissioner, Precinct No. 4</t>
  </si>
  <si>
    <t>(Comisionado del Condado, Precinto Num. 4)</t>
  </si>
  <si>
    <t>Jerry Benham</t>
  </si>
  <si>
    <t>For</t>
  </si>
  <si>
    <t>Against</t>
  </si>
  <si>
    <t>SECEDE Kilgore</t>
  </si>
  <si>
    <t>Greg Abbott</t>
  </si>
  <si>
    <t>Dan Patrick</t>
  </si>
  <si>
    <t>Jerry Patterson</t>
  </si>
  <si>
    <t>Ken Paxton</t>
  </si>
  <si>
    <t>Glenn Hegar</t>
  </si>
  <si>
    <t>George P. Bush</t>
  </si>
  <si>
    <t>Sid Miller</t>
  </si>
  <si>
    <t>Jeff Brown</t>
  </si>
  <si>
    <t>State Representative, District 68</t>
  </si>
  <si>
    <t>(Representante Estatal, Distrito Num. 68)</t>
  </si>
  <si>
    <t>Drew Springer</t>
  </si>
  <si>
    <t>District Judge, 106th Judicial District</t>
  </si>
  <si>
    <t>(Juez del Distrito, Distrito Judicial Num. 106)</t>
  </si>
  <si>
    <t>County Judge</t>
  </si>
  <si>
    <t>(Juez del Condado)</t>
  </si>
  <si>
    <t>Lee Norman</t>
  </si>
  <si>
    <t>District and County Clerk</t>
  </si>
  <si>
    <t>(Secretario del Distrito y Condado)</t>
  </si>
  <si>
    <t>Jim Plummer</t>
  </si>
  <si>
    <t>County Treasurer</t>
  </si>
  <si>
    <t>(Tesorero del Condado)</t>
  </si>
  <si>
    <t>LuAnne Terry</t>
  </si>
  <si>
    <t>County Commissioner, Precinct No. 2</t>
  </si>
  <si>
    <t>(Comisionado del Condado, Precinto Num. 2)</t>
  </si>
  <si>
    <t>Charles Morris</t>
  </si>
  <si>
    <t>Justice of the Peace, Precinct No. 1</t>
  </si>
  <si>
    <t>(Juez de Paz, Precinto Num. 1)</t>
  </si>
  <si>
    <t>Gordon Terry</t>
  </si>
  <si>
    <t>Justice of the Peace, Precinct No. 2</t>
  </si>
  <si>
    <t>(Juez de Paz, Precinto Num. 2)</t>
  </si>
  <si>
    <t>Angela Massey</t>
  </si>
  <si>
    <t>Yes</t>
  </si>
  <si>
    <t>No</t>
  </si>
  <si>
    <t>Beto O'Rourke</t>
  </si>
  <si>
    <t>Edward Kimbrough</t>
  </si>
  <si>
    <t>Sema Hernandez</t>
  </si>
  <si>
    <t>Miguel Lavario</t>
  </si>
  <si>
    <t>Adrian Ocegueda</t>
  </si>
  <si>
    <t>Andrew White</t>
  </si>
  <si>
    <t>Cedric Davis, Sr.</t>
  </si>
  <si>
    <t>Grady Yarbrough</t>
  </si>
  <si>
    <t>James Jolly Clark</t>
  </si>
  <si>
    <t>Jeffrey Payne</t>
  </si>
  <si>
    <t>Joe Mumbach</t>
  </si>
  <si>
    <t>Lupe Valdez</t>
  </si>
  <si>
    <t>Tom Wakely</t>
  </si>
  <si>
    <t>Michael Cooper</t>
  </si>
  <si>
    <t>Justin Nelson</t>
  </si>
  <si>
    <t>Joi Chevalier</t>
  </si>
  <si>
    <t>Tim Mahoney</t>
  </si>
  <si>
    <t>Miguel Suazo</t>
  </si>
  <si>
    <t>Tex Morgan</t>
  </si>
  <si>
    <t>Kim Olson</t>
  </si>
  <si>
    <t>Chris Spellmon</t>
  </si>
  <si>
    <t>Roman McAllen</t>
  </si>
  <si>
    <t>Justice, Supreme Court, Place 2</t>
  </si>
  <si>
    <t>Steven Kirkland</t>
  </si>
  <si>
    <t>Justice, Supreme Court, Place 4</t>
  </si>
  <si>
    <t>R.K. Sandill</t>
  </si>
  <si>
    <t>Kathy Cheng</t>
  </si>
  <si>
    <t>Presiding Judge, Court of Criminal Appeals</t>
  </si>
  <si>
    <t>Judge, Court of Criminal Appeals, Place 7</t>
  </si>
  <si>
    <t>(Juez, Corte de Apelaciones Criminales, Lugar Num. 7)</t>
  </si>
  <si>
    <t>Ramona Franklin</t>
  </si>
  <si>
    <t>County Chairman</t>
  </si>
  <si>
    <t>Robin Dilliard</t>
  </si>
  <si>
    <t>Contests</t>
  </si>
  <si>
    <t>Propositions</t>
  </si>
  <si>
    <t>(Presidente del Condado)</t>
  </si>
  <si>
    <t>(Juez Presidente, Corte de Apelaciones Criminales)</t>
  </si>
  <si>
    <t>2.  Student Loan Debt</t>
  </si>
  <si>
    <t>3.  Right to Healthcare</t>
  </si>
  <si>
    <t>4.  Right to Economic Security</t>
  </si>
  <si>
    <t>1.  Right Public Education</t>
  </si>
  <si>
    <t>6.  Right to Healthy Environment</t>
  </si>
  <si>
    <t>7.  Right to Dignity &amp; Respect</t>
  </si>
  <si>
    <t>9.  Right to Vote</t>
  </si>
  <si>
    <t>10.  Right to Fair Justice System</t>
  </si>
  <si>
    <t>11.  Immigrant Rights</t>
  </si>
  <si>
    <t>12.  Right to Fair Taxation</t>
  </si>
  <si>
    <r>
      <t xml:space="preserve">FEDERAL </t>
    </r>
    <r>
      <rPr>
        <i/>
        <u/>
        <sz val="12"/>
        <rFont val="Arial"/>
        <family val="2"/>
      </rPr>
      <t>(Federal)</t>
    </r>
  </si>
  <si>
    <r>
      <t xml:space="preserve">STATE </t>
    </r>
    <r>
      <rPr>
        <i/>
        <u/>
        <sz val="12"/>
        <color indexed="8"/>
        <rFont val="Arial"/>
        <family val="2"/>
      </rPr>
      <t>(Estado)</t>
    </r>
  </si>
  <si>
    <r>
      <t xml:space="preserve">COUNTY </t>
    </r>
    <r>
      <rPr>
        <i/>
        <u/>
        <sz val="12"/>
        <color indexed="8"/>
        <rFont val="Arial"/>
        <family val="2"/>
      </rPr>
      <t>(Condado)</t>
    </r>
  </si>
  <si>
    <t>Mary Miller</t>
  </si>
  <si>
    <t>Bruce Jacobson, Jr.</t>
  </si>
  <si>
    <t>Ted Cruz</t>
  </si>
  <si>
    <t>Geraldine Sam</t>
  </si>
  <si>
    <t>Stefano de Stefano</t>
  </si>
  <si>
    <t>Jodey Arrington</t>
  </si>
  <si>
    <t>Barbara Krueger</t>
  </si>
  <si>
    <t>Scott Milder</t>
  </si>
  <si>
    <t>Davey Edwards</t>
  </si>
  <si>
    <t>Rick Range</t>
  </si>
  <si>
    <t>Trey Blocker</t>
  </si>
  <si>
    <t>Weston Martinez</t>
  </si>
  <si>
    <t>Christi Craddick</t>
  </si>
  <si>
    <t>Jimmy Blacklock</t>
  </si>
  <si>
    <t>John Devine</t>
  </si>
  <si>
    <t>(Juez, Corte Suprema, Lugar Num. 2)</t>
  </si>
  <si>
    <t>(Juez, Corte Suprema, Lugar Num. 4)</t>
  </si>
  <si>
    <t>Presiding Judge, Court or Criminal Appeals</t>
  </si>
  <si>
    <t>David Bridges</t>
  </si>
  <si>
    <t>Sharon Keller</t>
  </si>
  <si>
    <t>Barbara Parker Hervey</t>
  </si>
  <si>
    <t>Judge, Court of Criminal Appeals, Place 8</t>
  </si>
  <si>
    <t>(Juez, Corte de Apelaciones Criminales, Lugar Num. 8)</t>
  </si>
  <si>
    <t>Michelle Slaughter</t>
  </si>
  <si>
    <t>Jay Brandon</t>
  </si>
  <si>
    <t>Dib Waldrip</t>
  </si>
  <si>
    <t xml:space="preserve">Justice, 7th Court of Appeals District, Place 2 </t>
  </si>
  <si>
    <t>(Juez,Corte de Apelaciones, Distrito Num. 7, Lugar Num. 2)</t>
  </si>
  <si>
    <t>Judy Parker</t>
  </si>
  <si>
    <t xml:space="preserve">Justice, 7th Court of Appeals District, Place 3 </t>
  </si>
  <si>
    <t>(Juez,Corte de Apelaciones, Distrito Num. 7, Lugar Num. 3)</t>
  </si>
  <si>
    <t>Pat Pirtle</t>
  </si>
  <si>
    <t>Reed Filley</t>
  </si>
  <si>
    <t>W. Calloway Huffaker</t>
  </si>
  <si>
    <t>Junior Foster</t>
  </si>
  <si>
    <t>David Sparlin</t>
  </si>
  <si>
    <t>Prop 1: Consumption Tax</t>
  </si>
  <si>
    <t>Prop 3:  REPs select Speaker</t>
  </si>
  <si>
    <t>Prop 4:  New hires w/ E-Verify</t>
  </si>
  <si>
    <t>Prop 5: Tax credits for school choice</t>
  </si>
  <si>
    <t>Prop 6:  Bathroom protection</t>
  </si>
  <si>
    <t>Prop 7: Abolish abortion</t>
  </si>
  <si>
    <t>Prop 8:  Vote fraud- felony charge</t>
  </si>
  <si>
    <t>Prop 9:  Repeal Obamacare</t>
  </si>
  <si>
    <t>Prop 10:  Property tax cap at 4%</t>
  </si>
  <si>
    <t>Prop 11: No public funding for professional stadiums</t>
  </si>
  <si>
    <t>Prop 2:  Voter approval for toll roads</t>
  </si>
  <si>
    <t>Maria T. (Terri) Jackson</t>
  </si>
  <si>
    <t>8.  Right to Housing</t>
  </si>
  <si>
    <t>County Chariman</t>
  </si>
  <si>
    <t>Diann Windham</t>
  </si>
  <si>
    <t xml:space="preserve">I, the undersigned, the presiding judge of the above described election counted at the Central Counting Station, do </t>
  </si>
  <si>
    <t>hereby certify that the above return is true and correct return for said election.</t>
  </si>
  <si>
    <t>Dated this the 6th day of March, 2018</t>
  </si>
  <si>
    <t>___________________________________________</t>
  </si>
  <si>
    <t>Presiding Judge's signature</t>
  </si>
  <si>
    <t>5.  National Jobs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</si>
</sst>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u/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sz val="12"/>
      <name val="Arial"/>
      <family val="2"/>
    </font>
    <font>
      <i/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2"/>
      <name val="Arial"/>
      <family val="2"/>
    </font>
    <font>
      <i/>
      <u/>
      <sz val="12"/>
      <name val="Arial"/>
      <family val="2"/>
    </font>
    <font>
      <u/>
      <sz val="12"/>
      <color theme="1"/>
      <name val="Arial"/>
      <family val="2"/>
    </font>
    <font>
      <i/>
      <u/>
      <sz val="12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2" borderId="0" xfId="0" applyFill="1"/>
    <xf numFmtId="0" fontId="9" fillId="2" borderId="0" xfId="0" applyFont="1" applyFill="1"/>
    <xf numFmtId="0" fontId="11" fillId="2" borderId="0" xfId="0" applyFont="1" applyFill="1" applyAlignment="1">
      <alignment horizontal="center"/>
    </xf>
    <xf numFmtId="0" fontId="4" fillId="2" borderId="0" xfId="0" applyFont="1" applyFill="1"/>
    <xf numFmtId="0" fontId="9" fillId="2" borderId="0" xfId="0" applyFont="1" applyFill="1" applyBorder="1"/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12" fillId="2" borderId="0" xfId="0" applyFont="1" applyFill="1"/>
    <xf numFmtId="0" fontId="11" fillId="0" borderId="0" xfId="0" applyFont="1"/>
    <xf numFmtId="0" fontId="11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2" fillId="2" borderId="0" xfId="0" applyFont="1" applyFill="1" applyBorder="1" applyAlignment="1"/>
    <xf numFmtId="0" fontId="11" fillId="3" borderId="0" xfId="0" applyFont="1" applyFill="1" applyBorder="1" applyAlignment="1">
      <alignment horizontal="right"/>
    </xf>
    <xf numFmtId="0" fontId="11" fillId="3" borderId="0" xfId="0" applyFont="1" applyFill="1" applyBorder="1" applyAlignment="1">
      <alignment horizontal="right" wrapText="1"/>
    </xf>
    <xf numFmtId="0" fontId="12" fillId="2" borderId="0" xfId="0" applyFont="1" applyFill="1" applyBorder="1" applyAlignment="1">
      <alignment wrapText="1"/>
    </xf>
    <xf numFmtId="0" fontId="13" fillId="0" borderId="0" xfId="0" applyFont="1"/>
    <xf numFmtId="0" fontId="13" fillId="2" borderId="0" xfId="0" applyFont="1" applyFill="1"/>
    <xf numFmtId="16" fontId="0" fillId="0" borderId="0" xfId="0" applyNumberFormat="1"/>
    <xf numFmtId="0" fontId="11" fillId="2" borderId="0" xfId="0" applyFont="1" applyFill="1" applyBorder="1" applyAlignment="1"/>
    <xf numFmtId="0" fontId="9" fillId="2" borderId="0" xfId="0" applyFont="1" applyFill="1" applyAlignment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/>
    <xf numFmtId="0" fontId="18" fillId="2" borderId="0" xfId="0" applyFont="1" applyFill="1"/>
    <xf numFmtId="0" fontId="19" fillId="2" borderId="0" xfId="0" applyFont="1" applyFill="1"/>
    <xf numFmtId="0" fontId="21" fillId="2" borderId="0" xfId="0" applyFont="1" applyFill="1"/>
    <xf numFmtId="0" fontId="22" fillId="2" borderId="0" xfId="0" applyFont="1" applyFill="1" applyBorder="1" applyAlignment="1">
      <alignment wrapText="1"/>
    </xf>
    <xf numFmtId="0" fontId="20" fillId="2" borderId="0" xfId="0" applyFont="1" applyFill="1"/>
    <xf numFmtId="0" fontId="0" fillId="0" borderId="0" xfId="0" applyFill="1"/>
    <xf numFmtId="0" fontId="11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workbookViewId="0">
      <pane ySplit="2" topLeftCell="A3" activePane="bottomLeft" state="frozen"/>
      <selection pane="bottomLeft" activeCell="M114" sqref="M114"/>
    </sheetView>
  </sheetViews>
  <sheetFormatPr defaultRowHeight="15.75" x14ac:dyDescent="0.25"/>
  <cols>
    <col min="1" max="1" width="29.85546875" style="21" customWidth="1"/>
    <col min="2" max="13" width="5.7109375" customWidth="1"/>
    <col min="16" max="16" width="1.42578125" style="13" customWidth="1"/>
    <col min="17" max="17" width="9.140625" style="28"/>
  </cols>
  <sheetData>
    <row r="1" spans="1:17" x14ac:dyDescent="0.25">
      <c r="A1" s="1"/>
      <c r="B1" s="2" t="s">
        <v>19</v>
      </c>
      <c r="C1" s="3"/>
      <c r="D1" s="4" t="s">
        <v>20</v>
      </c>
      <c r="E1" s="4"/>
      <c r="F1" s="4" t="s">
        <v>21</v>
      </c>
      <c r="G1" s="4"/>
      <c r="H1" s="4" t="s">
        <v>22</v>
      </c>
      <c r="I1" s="4"/>
      <c r="J1" s="4" t="s">
        <v>23</v>
      </c>
      <c r="K1" s="4"/>
      <c r="L1" s="4" t="s">
        <v>24</v>
      </c>
      <c r="M1" s="4"/>
      <c r="N1" s="5" t="s">
        <v>0</v>
      </c>
      <c r="O1" s="5" t="s">
        <v>1</v>
      </c>
      <c r="P1" s="16"/>
      <c r="Q1" s="6" t="s">
        <v>2</v>
      </c>
    </row>
    <row r="2" spans="1:17" x14ac:dyDescent="0.25">
      <c r="A2" s="23" t="s">
        <v>3</v>
      </c>
      <c r="B2" s="8" t="s">
        <v>4</v>
      </c>
      <c r="C2" s="8" t="s">
        <v>18</v>
      </c>
      <c r="D2" s="9" t="s">
        <v>4</v>
      </c>
      <c r="E2" s="9" t="s">
        <v>18</v>
      </c>
      <c r="F2" s="9" t="s">
        <v>4</v>
      </c>
      <c r="G2" s="9" t="s">
        <v>18</v>
      </c>
      <c r="H2" s="9" t="s">
        <v>4</v>
      </c>
      <c r="I2" s="9" t="s">
        <v>18</v>
      </c>
      <c r="J2" s="9" t="s">
        <v>4</v>
      </c>
      <c r="K2" s="9" t="s">
        <v>18</v>
      </c>
      <c r="L2" s="9" t="s">
        <v>4</v>
      </c>
      <c r="M2" s="9" t="s">
        <v>18</v>
      </c>
      <c r="N2" s="9" t="s">
        <v>5</v>
      </c>
      <c r="O2" s="9" t="s">
        <v>5</v>
      </c>
      <c r="P2" s="16"/>
      <c r="Q2" s="10" t="s">
        <v>5</v>
      </c>
    </row>
    <row r="3" spans="1:17" x14ac:dyDescent="0.25">
      <c r="A3" s="11" t="s">
        <v>6</v>
      </c>
      <c r="B3">
        <v>8</v>
      </c>
      <c r="C3">
        <v>3</v>
      </c>
      <c r="D3">
        <v>8</v>
      </c>
      <c r="E3">
        <v>6</v>
      </c>
      <c r="F3">
        <v>5</v>
      </c>
      <c r="G3">
        <v>4</v>
      </c>
      <c r="H3">
        <v>5</v>
      </c>
      <c r="I3">
        <v>3</v>
      </c>
      <c r="J3">
        <v>0</v>
      </c>
      <c r="K3">
        <v>0</v>
      </c>
      <c r="L3">
        <v>4</v>
      </c>
      <c r="M3">
        <v>1</v>
      </c>
      <c r="N3">
        <f>SUM(B3, D3, F3, H3, J3, L3,)</f>
        <v>30</v>
      </c>
      <c r="O3">
        <f>SUM(C3, E3, G3, I3, K3, M3)</f>
        <v>17</v>
      </c>
      <c r="Q3" s="28">
        <f>SUM(N3, O3)</f>
        <v>47</v>
      </c>
    </row>
    <row r="4" spans="1:17" x14ac:dyDescent="0.25">
      <c r="A4" s="33" t="s">
        <v>135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29"/>
    </row>
    <row r="5" spans="1:17" x14ac:dyDescent="0.25">
      <c r="A5" s="24" t="s">
        <v>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Q5" s="29"/>
    </row>
    <row r="6" spans="1:17" x14ac:dyDescent="0.25">
      <c r="A6" s="31" t="s">
        <v>26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Q6" s="29"/>
    </row>
    <row r="7" spans="1:17" x14ac:dyDescent="0.25">
      <c r="A7" s="25" t="s">
        <v>88</v>
      </c>
      <c r="B7">
        <v>8</v>
      </c>
      <c r="C7">
        <v>2</v>
      </c>
      <c r="D7">
        <v>4</v>
      </c>
      <c r="E7">
        <v>2</v>
      </c>
      <c r="F7">
        <v>3</v>
      </c>
      <c r="G7">
        <v>1</v>
      </c>
      <c r="H7">
        <v>4</v>
      </c>
      <c r="I7">
        <v>1</v>
      </c>
      <c r="J7">
        <v>0</v>
      </c>
      <c r="K7">
        <v>0</v>
      </c>
      <c r="L7">
        <v>4</v>
      </c>
      <c r="M7">
        <v>1</v>
      </c>
      <c r="N7">
        <f t="shared" ref="N7:N8" si="0">SUM(B7, D7, F7, H7, J7, L7,)</f>
        <v>23</v>
      </c>
      <c r="O7">
        <f t="shared" ref="O7:O9" si="1">SUM(C7, E7, G7, I7, K7, M7)</f>
        <v>7</v>
      </c>
      <c r="Q7" s="28">
        <f t="shared" ref="Q7:Q8" si="2">SUM(N7, O7)</f>
        <v>30</v>
      </c>
    </row>
    <row r="8" spans="1:17" x14ac:dyDescent="0.25">
      <c r="A8" s="25" t="s">
        <v>89</v>
      </c>
      <c r="B8">
        <v>0</v>
      </c>
      <c r="C8">
        <v>0</v>
      </c>
      <c r="D8">
        <v>2</v>
      </c>
      <c r="E8">
        <v>2</v>
      </c>
      <c r="F8">
        <v>0</v>
      </c>
      <c r="G8">
        <v>2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f t="shared" si="0"/>
        <v>2</v>
      </c>
      <c r="O8">
        <f t="shared" si="1"/>
        <v>5</v>
      </c>
      <c r="Q8" s="28">
        <f t="shared" si="2"/>
        <v>7</v>
      </c>
    </row>
    <row r="9" spans="1:17" x14ac:dyDescent="0.25">
      <c r="A9" s="25" t="s">
        <v>90</v>
      </c>
      <c r="B9">
        <v>0</v>
      </c>
      <c r="C9">
        <v>1</v>
      </c>
      <c r="D9">
        <v>1</v>
      </c>
      <c r="E9">
        <v>2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f>SUM(B9, D9, F9, H9, J9, L9,)</f>
        <v>4</v>
      </c>
      <c r="O9">
        <f t="shared" si="1"/>
        <v>4</v>
      </c>
      <c r="Q9" s="28">
        <f>SUM(N9, O9)</f>
        <v>8</v>
      </c>
    </row>
    <row r="10" spans="1:17" x14ac:dyDescent="0.25">
      <c r="A10" s="19" t="s">
        <v>27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Q10" s="29"/>
    </row>
    <row r="11" spans="1:17" x14ac:dyDescent="0.25">
      <c r="A11" s="32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Q11" s="29"/>
    </row>
    <row r="12" spans="1:17" x14ac:dyDescent="0.25">
      <c r="A12" s="26" t="s">
        <v>91</v>
      </c>
      <c r="B12">
        <v>7</v>
      </c>
      <c r="C12">
        <v>2</v>
      </c>
      <c r="D12">
        <v>6</v>
      </c>
      <c r="E12">
        <v>2</v>
      </c>
      <c r="F12">
        <v>3</v>
      </c>
      <c r="G12">
        <v>3</v>
      </c>
      <c r="H12">
        <v>4</v>
      </c>
      <c r="I12">
        <v>2</v>
      </c>
      <c r="J12">
        <v>0</v>
      </c>
      <c r="K12">
        <v>0</v>
      </c>
      <c r="L12">
        <v>4</v>
      </c>
      <c r="M12">
        <v>1</v>
      </c>
      <c r="N12">
        <f>SUM(B12, D12, F12, H12, J12, L12,)</f>
        <v>24</v>
      </c>
      <c r="O12">
        <f t="shared" ref="O12" si="3">SUM(C12, E12, G12, I12, K12, M12)</f>
        <v>10</v>
      </c>
      <c r="Q12" s="28">
        <f>SUM(N12, O12)</f>
        <v>34</v>
      </c>
    </row>
    <row r="13" spans="1:17" x14ac:dyDescent="0.25">
      <c r="A13" s="34" t="s">
        <v>136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Q13" s="29"/>
    </row>
    <row r="14" spans="1:17" x14ac:dyDescent="0.25">
      <c r="A14" s="19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Q14" s="29"/>
    </row>
    <row r="15" spans="1:17" x14ac:dyDescent="0.25">
      <c r="A15" s="26" t="s">
        <v>92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f t="shared" ref="N15:N23" si="4">SUM(B15, D15, F15, H15, J15, L15,)</f>
        <v>3</v>
      </c>
      <c r="O15">
        <f t="shared" ref="O15:O23" si="5">SUM(C15, E15, G15, I15, K15, M15)</f>
        <v>1</v>
      </c>
      <c r="Q15" s="28">
        <f t="shared" ref="Q15:Q23" si="6">SUM(N15, O15)</f>
        <v>4</v>
      </c>
    </row>
    <row r="16" spans="1:17" x14ac:dyDescent="0.25">
      <c r="A16" s="26" t="s">
        <v>93</v>
      </c>
      <c r="B16">
        <v>4</v>
      </c>
      <c r="C16">
        <v>1</v>
      </c>
      <c r="D16">
        <v>4</v>
      </c>
      <c r="E16">
        <v>3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f t="shared" si="4"/>
        <v>10</v>
      </c>
      <c r="O16">
        <f t="shared" si="5"/>
        <v>6</v>
      </c>
      <c r="Q16" s="28">
        <f t="shared" si="6"/>
        <v>16</v>
      </c>
    </row>
    <row r="17" spans="1:17" x14ac:dyDescent="0.25">
      <c r="A17" s="22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f t="shared" si="4"/>
        <v>1</v>
      </c>
      <c r="O17">
        <f t="shared" si="5"/>
        <v>0</v>
      </c>
      <c r="Q17" s="28">
        <f t="shared" si="6"/>
        <v>1</v>
      </c>
    </row>
    <row r="18" spans="1:17" x14ac:dyDescent="0.25">
      <c r="A18" s="22" t="s">
        <v>95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 t="shared" si="4"/>
        <v>1</v>
      </c>
      <c r="O18">
        <f t="shared" si="5"/>
        <v>2</v>
      </c>
      <c r="Q18" s="28">
        <f t="shared" si="6"/>
        <v>3</v>
      </c>
    </row>
    <row r="19" spans="1:17" x14ac:dyDescent="0.25">
      <c r="A19" s="22" t="s">
        <v>96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f t="shared" si="4"/>
        <v>0</v>
      </c>
      <c r="O19">
        <f t="shared" si="5"/>
        <v>2</v>
      </c>
      <c r="Q19" s="28">
        <f t="shared" si="6"/>
        <v>2</v>
      </c>
    </row>
    <row r="20" spans="1:17" x14ac:dyDescent="0.25">
      <c r="A20" s="22" t="s">
        <v>97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 t="shared" si="4"/>
        <v>3</v>
      </c>
      <c r="O20">
        <f t="shared" si="5"/>
        <v>0</v>
      </c>
      <c r="Q20" s="28">
        <f t="shared" si="6"/>
        <v>3</v>
      </c>
    </row>
    <row r="21" spans="1:17" x14ac:dyDescent="0.25">
      <c r="A21" s="22" t="s">
        <v>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f t="shared" si="4"/>
        <v>1</v>
      </c>
      <c r="O21">
        <f t="shared" si="5"/>
        <v>0</v>
      </c>
      <c r="Q21" s="28">
        <f t="shared" si="6"/>
        <v>1</v>
      </c>
    </row>
    <row r="22" spans="1:17" x14ac:dyDescent="0.25">
      <c r="A22" s="22" t="s">
        <v>99</v>
      </c>
      <c r="B22">
        <v>2</v>
      </c>
      <c r="C22">
        <v>0</v>
      </c>
      <c r="D22">
        <v>2</v>
      </c>
      <c r="E22">
        <v>2</v>
      </c>
      <c r="F22">
        <v>2</v>
      </c>
      <c r="G22">
        <v>1</v>
      </c>
      <c r="H22">
        <v>1</v>
      </c>
      <c r="I22">
        <v>2</v>
      </c>
      <c r="J22">
        <v>0</v>
      </c>
      <c r="K22">
        <v>0</v>
      </c>
      <c r="L22">
        <v>3</v>
      </c>
      <c r="M22">
        <v>0</v>
      </c>
      <c r="N22">
        <f t="shared" si="4"/>
        <v>10</v>
      </c>
      <c r="O22">
        <f t="shared" si="5"/>
        <v>5</v>
      </c>
      <c r="Q22" s="28">
        <f t="shared" si="6"/>
        <v>15</v>
      </c>
    </row>
    <row r="23" spans="1:17" x14ac:dyDescent="0.25">
      <c r="A23" s="22" t="s">
        <v>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f t="shared" si="4"/>
        <v>1</v>
      </c>
      <c r="O23">
        <f t="shared" si="5"/>
        <v>0</v>
      </c>
      <c r="Q23" s="28">
        <f t="shared" si="6"/>
        <v>1</v>
      </c>
    </row>
    <row r="24" spans="1:17" x14ac:dyDescent="0.25">
      <c r="A24" s="19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Q24" s="29"/>
    </row>
    <row r="25" spans="1:17" x14ac:dyDescent="0.25">
      <c r="A25" s="14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Q25" s="29"/>
    </row>
    <row r="26" spans="1:17" x14ac:dyDescent="0.25">
      <c r="A26" s="22" t="s">
        <v>101</v>
      </c>
      <c r="B26">
        <v>1</v>
      </c>
      <c r="C26">
        <v>1</v>
      </c>
      <c r="D26">
        <v>1</v>
      </c>
      <c r="E26">
        <v>3</v>
      </c>
      <c r="F26">
        <v>2</v>
      </c>
      <c r="G26">
        <v>1</v>
      </c>
      <c r="H26">
        <v>3</v>
      </c>
      <c r="I26">
        <v>1</v>
      </c>
      <c r="J26">
        <v>0</v>
      </c>
      <c r="K26">
        <v>0</v>
      </c>
      <c r="L26">
        <v>1</v>
      </c>
      <c r="M26">
        <v>0</v>
      </c>
      <c r="N26">
        <f t="shared" ref="N26:N27" si="7">SUM(B26, D26, F26, H26, J26, L26,)</f>
        <v>8</v>
      </c>
      <c r="O26">
        <f t="shared" ref="O26:O27" si="8">SUM(C26, E26, G26, I26, K26, M26)</f>
        <v>6</v>
      </c>
      <c r="Q26" s="28">
        <f t="shared" ref="Q26:Q27" si="9">SUM(N26, O26)</f>
        <v>14</v>
      </c>
    </row>
    <row r="27" spans="1:17" x14ac:dyDescent="0.25">
      <c r="A27" s="22" t="s">
        <v>37</v>
      </c>
      <c r="B27">
        <v>7</v>
      </c>
      <c r="C27">
        <v>2</v>
      </c>
      <c r="D27">
        <v>6</v>
      </c>
      <c r="E27">
        <v>3</v>
      </c>
      <c r="F27">
        <v>3</v>
      </c>
      <c r="G27">
        <v>2</v>
      </c>
      <c r="H27">
        <v>2</v>
      </c>
      <c r="I27">
        <v>2</v>
      </c>
      <c r="J27">
        <v>0</v>
      </c>
      <c r="K27">
        <v>0</v>
      </c>
      <c r="L27">
        <v>3</v>
      </c>
      <c r="M27">
        <v>1</v>
      </c>
      <c r="N27">
        <f t="shared" si="7"/>
        <v>21</v>
      </c>
      <c r="O27">
        <f t="shared" si="8"/>
        <v>10</v>
      </c>
      <c r="Q27" s="28">
        <f t="shared" si="9"/>
        <v>31</v>
      </c>
    </row>
    <row r="28" spans="1:17" x14ac:dyDescent="0.25">
      <c r="A28" s="19" t="s">
        <v>33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Q28" s="29"/>
    </row>
    <row r="29" spans="1:17" x14ac:dyDescent="0.25">
      <c r="A29" s="14" t="s">
        <v>34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Q29" s="29"/>
    </row>
    <row r="30" spans="1:17" x14ac:dyDescent="0.25">
      <c r="A30" s="26" t="s">
        <v>102</v>
      </c>
      <c r="B30" s="42">
        <v>7</v>
      </c>
      <c r="C30" s="42">
        <v>3</v>
      </c>
      <c r="D30" s="42">
        <v>7</v>
      </c>
      <c r="E30" s="42">
        <v>4</v>
      </c>
      <c r="F30" s="42">
        <v>3</v>
      </c>
      <c r="G30" s="42">
        <v>2</v>
      </c>
      <c r="H30" s="42">
        <v>2</v>
      </c>
      <c r="I30" s="42">
        <v>1</v>
      </c>
      <c r="J30" s="42">
        <v>0</v>
      </c>
      <c r="K30" s="42">
        <v>0</v>
      </c>
      <c r="L30" s="42">
        <v>4</v>
      </c>
      <c r="M30" s="42">
        <v>1</v>
      </c>
      <c r="N30">
        <f t="shared" ref="N30" si="10">SUM(B30, D30, F30, H30, J30, L30,)</f>
        <v>23</v>
      </c>
      <c r="O30">
        <f t="shared" ref="O30" si="11">SUM(C30, E30, G30, I30, K30, M30)</f>
        <v>11</v>
      </c>
      <c r="P30" s="42"/>
      <c r="Q30" s="28">
        <f t="shared" ref="Q30" si="12">SUM(N30, O30)</f>
        <v>34</v>
      </c>
    </row>
    <row r="31" spans="1:17" x14ac:dyDescent="0.25">
      <c r="A31" s="19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Q31" s="29"/>
    </row>
    <row r="32" spans="1:17" x14ac:dyDescent="0.25">
      <c r="A32" s="14" t="s">
        <v>36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Q32" s="29"/>
    </row>
    <row r="33" spans="1:17" x14ac:dyDescent="0.25">
      <c r="A33" s="22" t="s">
        <v>103</v>
      </c>
      <c r="B33">
        <v>2</v>
      </c>
      <c r="C33">
        <v>2</v>
      </c>
      <c r="D33">
        <v>4</v>
      </c>
      <c r="E33">
        <v>1</v>
      </c>
      <c r="F33">
        <v>0</v>
      </c>
      <c r="G33">
        <v>0</v>
      </c>
      <c r="H33">
        <v>1</v>
      </c>
      <c r="I33">
        <v>2</v>
      </c>
      <c r="J33">
        <v>0</v>
      </c>
      <c r="K33">
        <v>0</v>
      </c>
      <c r="L33">
        <v>3</v>
      </c>
      <c r="M33">
        <v>0</v>
      </c>
      <c r="N33">
        <f t="shared" ref="N33:N34" si="13">SUM(B33, D33, F33, H33, J33, L33,)</f>
        <v>10</v>
      </c>
      <c r="O33">
        <f t="shared" ref="O33:O34" si="14">SUM(C33, E33, G33, I33, K33, M33)</f>
        <v>5</v>
      </c>
      <c r="Q33" s="28">
        <f t="shared" ref="Q33:Q34" si="15">SUM(N33, O33)</f>
        <v>15</v>
      </c>
    </row>
    <row r="34" spans="1:17" x14ac:dyDescent="0.25">
      <c r="A34" s="22" t="s">
        <v>104</v>
      </c>
      <c r="B34">
        <v>6</v>
      </c>
      <c r="C34">
        <v>1</v>
      </c>
      <c r="D34">
        <v>3</v>
      </c>
      <c r="E34">
        <v>5</v>
      </c>
      <c r="F34">
        <v>5</v>
      </c>
      <c r="G34">
        <v>3</v>
      </c>
      <c r="H34">
        <v>3</v>
      </c>
      <c r="I34">
        <v>1</v>
      </c>
      <c r="J34">
        <v>0</v>
      </c>
      <c r="K34">
        <v>0</v>
      </c>
      <c r="L34">
        <v>1</v>
      </c>
      <c r="M34">
        <v>1</v>
      </c>
      <c r="N34">
        <f t="shared" si="13"/>
        <v>18</v>
      </c>
      <c r="O34">
        <f t="shared" si="14"/>
        <v>11</v>
      </c>
      <c r="Q34" s="28">
        <f t="shared" si="15"/>
        <v>29</v>
      </c>
    </row>
    <row r="35" spans="1:17" x14ac:dyDescent="0.25">
      <c r="A35" s="1"/>
      <c r="B35" s="2" t="s">
        <v>19</v>
      </c>
      <c r="C35" s="3"/>
      <c r="D35" s="4" t="s">
        <v>20</v>
      </c>
      <c r="E35" s="4"/>
      <c r="F35" s="4" t="s">
        <v>21</v>
      </c>
      <c r="G35" s="4"/>
      <c r="H35" s="4" t="s">
        <v>22</v>
      </c>
      <c r="I35" s="4"/>
      <c r="J35" s="4" t="s">
        <v>23</v>
      </c>
      <c r="K35" s="4"/>
      <c r="L35" s="4" t="s">
        <v>24</v>
      </c>
      <c r="M35" s="4"/>
      <c r="N35" s="5" t="s">
        <v>0</v>
      </c>
      <c r="O35" s="5" t="s">
        <v>1</v>
      </c>
      <c r="P35" s="16"/>
      <c r="Q35" s="6" t="s">
        <v>2</v>
      </c>
    </row>
    <row r="36" spans="1:17" x14ac:dyDescent="0.25">
      <c r="A36" s="7" t="s">
        <v>3</v>
      </c>
      <c r="B36" s="8" t="s">
        <v>4</v>
      </c>
      <c r="C36" s="8" t="s">
        <v>18</v>
      </c>
      <c r="D36" s="9" t="s">
        <v>4</v>
      </c>
      <c r="E36" s="9" t="s">
        <v>18</v>
      </c>
      <c r="F36" s="9" t="s">
        <v>4</v>
      </c>
      <c r="G36" s="9" t="s">
        <v>18</v>
      </c>
      <c r="H36" s="9" t="s">
        <v>4</v>
      </c>
      <c r="I36" s="9" t="s">
        <v>18</v>
      </c>
      <c r="J36" s="9" t="s">
        <v>4</v>
      </c>
      <c r="K36" s="9" t="s">
        <v>18</v>
      </c>
      <c r="L36" s="9" t="s">
        <v>4</v>
      </c>
      <c r="M36" s="9" t="s">
        <v>18</v>
      </c>
      <c r="N36" s="9" t="s">
        <v>5</v>
      </c>
      <c r="O36" s="9" t="s">
        <v>5</v>
      </c>
      <c r="P36" s="16"/>
      <c r="Q36" s="10" t="s">
        <v>5</v>
      </c>
    </row>
    <row r="37" spans="1:17" x14ac:dyDescent="0.25">
      <c r="A37" s="19" t="s">
        <v>38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Q37" s="29"/>
    </row>
    <row r="38" spans="1:17" x14ac:dyDescent="0.25">
      <c r="A38" s="14" t="s">
        <v>39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Q38" s="29"/>
    </row>
    <row r="39" spans="1:17" x14ac:dyDescent="0.25">
      <c r="A39" s="22" t="s">
        <v>105</v>
      </c>
      <c r="B39">
        <v>6</v>
      </c>
      <c r="C39">
        <v>3</v>
      </c>
      <c r="D39">
        <v>4</v>
      </c>
      <c r="E39">
        <v>3</v>
      </c>
      <c r="F39">
        <v>4</v>
      </c>
      <c r="G39">
        <v>2</v>
      </c>
      <c r="H39">
        <v>4</v>
      </c>
      <c r="I39">
        <v>1</v>
      </c>
      <c r="J39">
        <v>0</v>
      </c>
      <c r="K39">
        <v>0</v>
      </c>
      <c r="L39">
        <v>2</v>
      </c>
      <c r="M39">
        <v>0</v>
      </c>
      <c r="N39">
        <f t="shared" ref="N39:N40" si="16">SUM(B39, D39, F39, H39, J39, L39,)</f>
        <v>20</v>
      </c>
      <c r="O39">
        <f t="shared" ref="O39:O40" si="17">SUM(C39, E39, G39, I39, K39, M39)</f>
        <v>9</v>
      </c>
      <c r="Q39" s="28">
        <f t="shared" ref="Q39:Q40" si="18">SUM(N39, O39)</f>
        <v>29</v>
      </c>
    </row>
    <row r="40" spans="1:17" x14ac:dyDescent="0.25">
      <c r="A40" s="22" t="s">
        <v>106</v>
      </c>
      <c r="B40">
        <v>2</v>
      </c>
      <c r="C40">
        <v>0</v>
      </c>
      <c r="D40">
        <v>3</v>
      </c>
      <c r="E40">
        <v>3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2</v>
      </c>
      <c r="M40">
        <v>1</v>
      </c>
      <c r="N40">
        <f t="shared" si="16"/>
        <v>9</v>
      </c>
      <c r="O40">
        <f t="shared" si="17"/>
        <v>6</v>
      </c>
      <c r="Q40" s="28">
        <f t="shared" si="18"/>
        <v>15</v>
      </c>
    </row>
    <row r="41" spans="1:17" x14ac:dyDescent="0.25">
      <c r="A41" s="19" t="s">
        <v>40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Q41" s="29"/>
    </row>
    <row r="42" spans="1:17" x14ac:dyDescent="0.25">
      <c r="A42" s="14" t="s">
        <v>41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Q42" s="29"/>
    </row>
    <row r="43" spans="1:17" x14ac:dyDescent="0.25">
      <c r="A43" s="22" t="s">
        <v>107</v>
      </c>
      <c r="B43">
        <v>8</v>
      </c>
      <c r="C43">
        <v>3</v>
      </c>
      <c r="D43">
        <v>6</v>
      </c>
      <c r="E43">
        <v>4</v>
      </c>
      <c r="F43">
        <v>5</v>
      </c>
      <c r="G43">
        <v>3</v>
      </c>
      <c r="H43">
        <v>3</v>
      </c>
      <c r="I43">
        <v>2</v>
      </c>
      <c r="J43">
        <v>0</v>
      </c>
      <c r="K43">
        <v>0</v>
      </c>
      <c r="L43">
        <v>4</v>
      </c>
      <c r="M43">
        <v>1</v>
      </c>
      <c r="N43">
        <f t="shared" ref="N43" si="19">SUM(B43, D43, F43, H43, J43, L43,)</f>
        <v>26</v>
      </c>
      <c r="O43">
        <f t="shared" ref="O43" si="20">SUM(C43, E43, G43, I43, K43, M43)</f>
        <v>13</v>
      </c>
      <c r="Q43" s="28">
        <f t="shared" ref="Q43" si="21">SUM(N43, O43)</f>
        <v>39</v>
      </c>
    </row>
    <row r="44" spans="1:17" x14ac:dyDescent="0.25">
      <c r="A44" s="19" t="s">
        <v>43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Q44" s="29"/>
    </row>
    <row r="45" spans="1:17" x14ac:dyDescent="0.25">
      <c r="A45" s="14" t="s">
        <v>44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Q45" s="29"/>
    </row>
    <row r="46" spans="1:17" x14ac:dyDescent="0.25">
      <c r="A46" s="22" t="s">
        <v>108</v>
      </c>
      <c r="B46">
        <v>4</v>
      </c>
      <c r="C46">
        <v>1</v>
      </c>
      <c r="D46">
        <v>3</v>
      </c>
      <c r="E46">
        <v>2</v>
      </c>
      <c r="F46">
        <v>2</v>
      </c>
      <c r="G46">
        <v>1</v>
      </c>
      <c r="H46">
        <v>2</v>
      </c>
      <c r="I46">
        <v>0</v>
      </c>
      <c r="J46">
        <v>0</v>
      </c>
      <c r="K46">
        <v>0</v>
      </c>
      <c r="L46">
        <v>1</v>
      </c>
      <c r="M46">
        <v>1</v>
      </c>
      <c r="N46">
        <f t="shared" ref="N46:N47" si="22">SUM(B46, D46, F46, H46, J46, L46,)</f>
        <v>12</v>
      </c>
      <c r="O46">
        <f t="shared" ref="O46:O47" si="23">SUM(C46, E46, G46, I46, K46, M46)</f>
        <v>5</v>
      </c>
      <c r="Q46" s="28">
        <f t="shared" ref="Q46:Q47" si="24">SUM(N46, O46)</f>
        <v>17</v>
      </c>
    </row>
    <row r="47" spans="1:17" x14ac:dyDescent="0.25">
      <c r="A47" s="22" t="s">
        <v>109</v>
      </c>
      <c r="B47">
        <v>4</v>
      </c>
      <c r="C47">
        <v>2</v>
      </c>
      <c r="D47">
        <v>3</v>
      </c>
      <c r="E47">
        <v>4</v>
      </c>
      <c r="F47">
        <v>3</v>
      </c>
      <c r="G47">
        <v>2</v>
      </c>
      <c r="H47">
        <v>2</v>
      </c>
      <c r="I47">
        <v>2</v>
      </c>
      <c r="J47">
        <v>0</v>
      </c>
      <c r="K47">
        <v>0</v>
      </c>
      <c r="L47">
        <v>3</v>
      </c>
      <c r="M47">
        <v>0</v>
      </c>
      <c r="N47">
        <f t="shared" si="22"/>
        <v>15</v>
      </c>
      <c r="O47">
        <f t="shared" si="23"/>
        <v>10</v>
      </c>
      <c r="Q47" s="28">
        <f t="shared" si="24"/>
        <v>25</v>
      </c>
    </row>
    <row r="48" spans="1:17" x14ac:dyDescent="0.25">
      <c r="A48" s="19" t="s">
        <v>110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Q48" s="29"/>
    </row>
    <row r="49" spans="1:17" x14ac:dyDescent="0.25">
      <c r="A49" s="31" t="s">
        <v>45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Q49" s="29"/>
    </row>
    <row r="50" spans="1:17" x14ac:dyDescent="0.25">
      <c r="A50" s="25" t="s">
        <v>111</v>
      </c>
      <c r="B50">
        <v>8</v>
      </c>
      <c r="C50">
        <v>2</v>
      </c>
      <c r="D50">
        <v>6</v>
      </c>
      <c r="E50">
        <v>3</v>
      </c>
      <c r="F50">
        <v>4</v>
      </c>
      <c r="G50">
        <v>3</v>
      </c>
      <c r="H50">
        <v>4</v>
      </c>
      <c r="I50">
        <v>2</v>
      </c>
      <c r="J50">
        <v>0</v>
      </c>
      <c r="K50">
        <v>0</v>
      </c>
      <c r="L50">
        <v>4</v>
      </c>
      <c r="M50">
        <v>1</v>
      </c>
      <c r="N50">
        <f t="shared" ref="N50" si="25">SUM(B50, D50, F50, H50, J50, L50,)</f>
        <v>26</v>
      </c>
      <c r="O50">
        <f t="shared" ref="O50" si="26">SUM(C50, E50, G50, I50, K50, M50)</f>
        <v>11</v>
      </c>
      <c r="Q50" s="28">
        <f t="shared" ref="Q50" si="27">SUM(N50, O50)</f>
        <v>37</v>
      </c>
    </row>
    <row r="51" spans="1:17" x14ac:dyDescent="0.25">
      <c r="A51" s="19" t="s">
        <v>112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Q51" s="29"/>
    </row>
    <row r="52" spans="1:17" x14ac:dyDescent="0.25">
      <c r="A52" s="14" t="s">
        <v>47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Q52" s="29"/>
    </row>
    <row r="53" spans="1:17" x14ac:dyDescent="0.25">
      <c r="A53" s="25" t="s">
        <v>113</v>
      </c>
      <c r="B53">
        <v>8</v>
      </c>
      <c r="C53">
        <v>3</v>
      </c>
      <c r="D53">
        <v>5</v>
      </c>
      <c r="E53">
        <v>3</v>
      </c>
      <c r="F53">
        <v>4</v>
      </c>
      <c r="G53">
        <v>3</v>
      </c>
      <c r="H53">
        <v>4</v>
      </c>
      <c r="I53">
        <v>1</v>
      </c>
      <c r="J53">
        <v>0</v>
      </c>
      <c r="K53">
        <v>0</v>
      </c>
      <c r="L53">
        <v>4</v>
      </c>
      <c r="M53">
        <v>1</v>
      </c>
      <c r="N53">
        <f t="shared" ref="N53" si="28">SUM(B53, D53, F53, H53, J53, L53,)</f>
        <v>25</v>
      </c>
      <c r="O53">
        <f t="shared" ref="O53" si="29">SUM(C53, E53, G53, I53, K53, M53)</f>
        <v>11</v>
      </c>
      <c r="Q53" s="28">
        <f t="shared" ref="Q53" si="30">SUM(N53, O53)</f>
        <v>36</v>
      </c>
    </row>
    <row r="54" spans="1:17" x14ac:dyDescent="0.25">
      <c r="A54" s="19" t="s">
        <v>46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Q54" s="29"/>
    </row>
    <row r="55" spans="1:17" x14ac:dyDescent="0.25">
      <c r="A55" s="14" t="s">
        <v>48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Q55" s="29"/>
    </row>
    <row r="56" spans="1:17" x14ac:dyDescent="0.25">
      <c r="A56" s="25" t="s">
        <v>114</v>
      </c>
      <c r="B56">
        <v>7</v>
      </c>
      <c r="C56">
        <v>3</v>
      </c>
      <c r="D56">
        <v>5</v>
      </c>
      <c r="E56">
        <v>3</v>
      </c>
      <c r="F56">
        <v>4</v>
      </c>
      <c r="G56">
        <v>3</v>
      </c>
      <c r="H56">
        <v>4</v>
      </c>
      <c r="I56">
        <v>1</v>
      </c>
      <c r="J56">
        <v>0</v>
      </c>
      <c r="K56">
        <v>0</v>
      </c>
      <c r="L56">
        <v>4</v>
      </c>
      <c r="M56">
        <v>1</v>
      </c>
      <c r="N56">
        <f t="shared" ref="N56" si="31">SUM(B56, D56, F56, H56, J56, L56,)</f>
        <v>24</v>
      </c>
      <c r="O56">
        <f t="shared" ref="O56" si="32">SUM(C56, E56, G56, I56, K56, M56)</f>
        <v>11</v>
      </c>
      <c r="Q56" s="28">
        <f t="shared" ref="Q56" si="33">SUM(N56, O56)</f>
        <v>35</v>
      </c>
    </row>
    <row r="57" spans="1:17" x14ac:dyDescent="0.25">
      <c r="A57" s="19" t="s">
        <v>115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Q57" s="29"/>
    </row>
    <row r="58" spans="1:17" x14ac:dyDescent="0.25">
      <c r="A58" s="14" t="s">
        <v>124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Q58" s="29"/>
    </row>
    <row r="59" spans="1:17" x14ac:dyDescent="0.25">
      <c r="A59" s="25" t="s">
        <v>185</v>
      </c>
      <c r="B59">
        <v>7</v>
      </c>
      <c r="C59">
        <v>3</v>
      </c>
      <c r="D59">
        <v>6</v>
      </c>
      <c r="E59">
        <v>3</v>
      </c>
      <c r="F59">
        <v>5</v>
      </c>
      <c r="G59">
        <v>3</v>
      </c>
      <c r="H59">
        <v>4</v>
      </c>
      <c r="I59">
        <v>1</v>
      </c>
      <c r="J59">
        <v>0</v>
      </c>
      <c r="K59">
        <v>0</v>
      </c>
      <c r="L59">
        <v>4</v>
      </c>
      <c r="M59">
        <v>1</v>
      </c>
      <c r="N59">
        <f t="shared" ref="N59" si="34">SUM(B59, D59, F59, H59, J59, L59,)</f>
        <v>26</v>
      </c>
      <c r="O59">
        <f t="shared" ref="O59" si="35">SUM(C59, E59, G59, I59, K59, M59)</f>
        <v>11</v>
      </c>
      <c r="Q59" s="28">
        <f t="shared" ref="Q59" si="36">SUM(N59, O59)</f>
        <v>37</v>
      </c>
    </row>
    <row r="60" spans="1:17" x14ac:dyDescent="0.25">
      <c r="A60" s="19" t="s">
        <v>116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Q60" s="29"/>
    </row>
    <row r="61" spans="1:17" x14ac:dyDescent="0.25">
      <c r="A61" s="14" t="s">
        <v>117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Q61" s="29"/>
    </row>
    <row r="62" spans="1:17" x14ac:dyDescent="0.25">
      <c r="A62" s="25" t="s">
        <v>118</v>
      </c>
      <c r="B62">
        <v>7</v>
      </c>
      <c r="C62">
        <v>3</v>
      </c>
      <c r="D62">
        <v>6</v>
      </c>
      <c r="E62">
        <v>3</v>
      </c>
      <c r="F62">
        <v>4</v>
      </c>
      <c r="G62">
        <v>3</v>
      </c>
      <c r="H62">
        <v>4</v>
      </c>
      <c r="I62">
        <v>1</v>
      </c>
      <c r="J62">
        <v>0</v>
      </c>
      <c r="K62">
        <v>0</v>
      </c>
      <c r="L62">
        <v>4</v>
      </c>
      <c r="M62">
        <v>1</v>
      </c>
      <c r="N62">
        <f t="shared" ref="N62" si="37">SUM(B62, D62, F62, H62, J62, L62,)</f>
        <v>25</v>
      </c>
      <c r="O62">
        <f t="shared" ref="O62" si="38">SUM(C62, E62, G62, I62, K62, M62)</f>
        <v>11</v>
      </c>
      <c r="Q62" s="28">
        <f t="shared" ref="Q62" si="39">SUM(N62, O62)</f>
        <v>36</v>
      </c>
    </row>
    <row r="63" spans="1:17" x14ac:dyDescent="0.25">
      <c r="A63" s="34" t="s">
        <v>137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Q63" s="29"/>
    </row>
    <row r="64" spans="1:17" x14ac:dyDescent="0.25">
      <c r="A64" s="19" t="s">
        <v>119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Q64" s="29"/>
    </row>
    <row r="65" spans="1:17" x14ac:dyDescent="0.25">
      <c r="A65" s="17" t="s">
        <v>123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Q65" s="29"/>
    </row>
    <row r="66" spans="1:17" x14ac:dyDescent="0.25">
      <c r="A66" s="12" t="s">
        <v>120</v>
      </c>
      <c r="B66" s="42">
        <v>8</v>
      </c>
      <c r="C66" s="42">
        <v>3</v>
      </c>
      <c r="D66" s="42">
        <v>7</v>
      </c>
      <c r="E66" s="42">
        <v>3</v>
      </c>
      <c r="F66" s="42">
        <v>5</v>
      </c>
      <c r="G66" s="42">
        <v>3</v>
      </c>
      <c r="H66" s="42">
        <v>4</v>
      </c>
      <c r="I66" s="42">
        <v>2</v>
      </c>
      <c r="J66" s="42">
        <v>0</v>
      </c>
      <c r="K66" s="42">
        <v>0</v>
      </c>
      <c r="L66" s="42">
        <v>4</v>
      </c>
      <c r="M66" s="42">
        <v>1</v>
      </c>
      <c r="N66">
        <f t="shared" ref="N66" si="40">SUM(B66, D66, F66, H66, J66, L66,)</f>
        <v>28</v>
      </c>
      <c r="O66">
        <f t="shared" ref="O66" si="41">SUM(C66, E66, G66, I66, K66, M66)</f>
        <v>12</v>
      </c>
      <c r="Q66" s="28">
        <f t="shared" ref="Q66" si="42">SUM(N66, O66)</f>
        <v>40</v>
      </c>
    </row>
    <row r="67" spans="1:17" ht="1.5" customHeight="1" x14ac:dyDescent="0.25">
      <c r="A67" s="4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Q67" s="29"/>
    </row>
    <row r="68" spans="1:17" x14ac:dyDescent="0.25">
      <c r="A68" s="1"/>
      <c r="B68" s="2" t="s">
        <v>19</v>
      </c>
      <c r="C68" s="3"/>
      <c r="D68" s="4" t="s">
        <v>20</v>
      </c>
      <c r="E68" s="4"/>
      <c r="F68" s="4" t="s">
        <v>21</v>
      </c>
      <c r="G68" s="4"/>
      <c r="H68" s="4" t="s">
        <v>22</v>
      </c>
      <c r="I68" s="4"/>
      <c r="J68" s="4" t="s">
        <v>23</v>
      </c>
      <c r="K68" s="4"/>
      <c r="L68" s="4" t="s">
        <v>24</v>
      </c>
      <c r="M68" s="4"/>
      <c r="N68" s="5" t="s">
        <v>0</v>
      </c>
      <c r="O68" s="5" t="s">
        <v>1</v>
      </c>
      <c r="P68" s="16"/>
      <c r="Q68" s="6" t="s">
        <v>2</v>
      </c>
    </row>
    <row r="69" spans="1:17" x14ac:dyDescent="0.25">
      <c r="A69" s="35" t="s">
        <v>121</v>
      </c>
      <c r="B69" s="8" t="s">
        <v>4</v>
      </c>
      <c r="C69" s="8" t="s">
        <v>18</v>
      </c>
      <c r="D69" s="9" t="s">
        <v>4</v>
      </c>
      <c r="E69" s="9" t="s">
        <v>18</v>
      </c>
      <c r="F69" s="9" t="s">
        <v>4</v>
      </c>
      <c r="G69" s="9" t="s">
        <v>18</v>
      </c>
      <c r="H69" s="9" t="s">
        <v>4</v>
      </c>
      <c r="I69" s="9" t="s">
        <v>18</v>
      </c>
      <c r="J69" s="9" t="s">
        <v>4</v>
      </c>
      <c r="K69" s="9" t="s">
        <v>18</v>
      </c>
      <c r="L69" s="9" t="s">
        <v>4</v>
      </c>
      <c r="M69" s="9" t="s">
        <v>18</v>
      </c>
      <c r="N69" s="9" t="s">
        <v>5</v>
      </c>
      <c r="O69" s="9" t="s">
        <v>5</v>
      </c>
      <c r="P69" s="16"/>
      <c r="Q69" s="10" t="s">
        <v>5</v>
      </c>
    </row>
    <row r="70" spans="1:17" x14ac:dyDescent="0.25">
      <c r="A70" s="33" t="s">
        <v>122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Q70" s="29"/>
    </row>
    <row r="71" spans="1:17" x14ac:dyDescent="0.25">
      <c r="A71" s="20" t="s">
        <v>128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Q71" s="29"/>
    </row>
    <row r="72" spans="1:17" x14ac:dyDescent="0.25">
      <c r="A72" s="12" t="s">
        <v>52</v>
      </c>
      <c r="B72">
        <v>7</v>
      </c>
      <c r="C72">
        <v>3</v>
      </c>
      <c r="D72">
        <v>8</v>
      </c>
      <c r="E72">
        <v>6</v>
      </c>
      <c r="F72">
        <v>5</v>
      </c>
      <c r="G72">
        <v>3</v>
      </c>
      <c r="H72">
        <v>5</v>
      </c>
      <c r="I72">
        <v>2</v>
      </c>
      <c r="J72">
        <v>0</v>
      </c>
      <c r="K72">
        <v>0</v>
      </c>
      <c r="L72">
        <v>4</v>
      </c>
      <c r="M72">
        <v>1</v>
      </c>
      <c r="N72">
        <f t="shared" ref="N72:N73" si="43">SUM(B72, D72, F72, H72, J72, L72,)</f>
        <v>29</v>
      </c>
      <c r="O72">
        <f t="shared" ref="O72:O73" si="44">SUM(C72, E72, G72, I72, K72, M72)</f>
        <v>15</v>
      </c>
      <c r="Q72" s="28">
        <f t="shared" ref="Q72:Q73" si="45">SUM(N72, O72)</f>
        <v>44</v>
      </c>
    </row>
    <row r="73" spans="1:17" x14ac:dyDescent="0.25">
      <c r="A73" s="12" t="s">
        <v>53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f t="shared" si="43"/>
        <v>0</v>
      </c>
      <c r="O73">
        <f t="shared" si="44"/>
        <v>0</v>
      </c>
      <c r="Q73" s="28">
        <f t="shared" si="45"/>
        <v>0</v>
      </c>
    </row>
    <row r="74" spans="1:17" x14ac:dyDescent="0.25">
      <c r="A74" s="20" t="s">
        <v>125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Q74" s="29"/>
    </row>
    <row r="75" spans="1:17" x14ac:dyDescent="0.25">
      <c r="A75" s="12" t="s">
        <v>52</v>
      </c>
      <c r="B75">
        <v>6</v>
      </c>
      <c r="C75">
        <v>3</v>
      </c>
      <c r="D75">
        <v>7</v>
      </c>
      <c r="E75">
        <v>6</v>
      </c>
      <c r="F75">
        <v>3</v>
      </c>
      <c r="G75">
        <v>3</v>
      </c>
      <c r="H75">
        <v>5</v>
      </c>
      <c r="I75">
        <v>3</v>
      </c>
      <c r="J75">
        <v>0</v>
      </c>
      <c r="K75">
        <v>0</v>
      </c>
      <c r="L75">
        <v>4</v>
      </c>
      <c r="M75">
        <v>1</v>
      </c>
      <c r="N75">
        <f t="shared" ref="N75:N76" si="46">SUM(B75, D75, F75, H75, J75, L75,)</f>
        <v>25</v>
      </c>
      <c r="O75">
        <f t="shared" ref="O75:O76" si="47">SUM(C75, E75, G75, I75, K75, M75)</f>
        <v>16</v>
      </c>
      <c r="Q75" s="28">
        <f t="shared" ref="Q75:Q76" si="48">SUM(N75, O75)</f>
        <v>41</v>
      </c>
    </row>
    <row r="76" spans="1:17" x14ac:dyDescent="0.25">
      <c r="A76" s="12" t="s">
        <v>53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f t="shared" si="46"/>
        <v>3</v>
      </c>
      <c r="O76">
        <f t="shared" si="47"/>
        <v>0</v>
      </c>
      <c r="Q76" s="28">
        <f t="shared" si="48"/>
        <v>3</v>
      </c>
    </row>
    <row r="77" spans="1:17" x14ac:dyDescent="0.25">
      <c r="A77" s="19" t="s">
        <v>126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Q77" s="29"/>
    </row>
    <row r="78" spans="1:17" x14ac:dyDescent="0.25">
      <c r="A78" s="12" t="s">
        <v>52</v>
      </c>
      <c r="B78">
        <v>6</v>
      </c>
      <c r="C78">
        <v>3</v>
      </c>
      <c r="D78">
        <v>7</v>
      </c>
      <c r="E78">
        <v>5</v>
      </c>
      <c r="F78">
        <v>4</v>
      </c>
      <c r="G78">
        <v>3</v>
      </c>
      <c r="H78">
        <v>5</v>
      </c>
      <c r="I78">
        <v>2</v>
      </c>
      <c r="J78">
        <v>0</v>
      </c>
      <c r="K78">
        <v>0</v>
      </c>
      <c r="L78">
        <v>4</v>
      </c>
      <c r="M78">
        <v>1</v>
      </c>
      <c r="N78">
        <f t="shared" ref="N78:N79" si="49">SUM(B78, D78, F78, H78, J78, L78,)</f>
        <v>26</v>
      </c>
      <c r="O78">
        <f t="shared" ref="O78:O79" si="50">SUM(C78, E78, G78, I78, K78, M78)</f>
        <v>14</v>
      </c>
      <c r="Q78" s="28">
        <f t="shared" ref="Q78:Q79" si="51">SUM(N78, O78)</f>
        <v>40</v>
      </c>
    </row>
    <row r="79" spans="1:17" x14ac:dyDescent="0.25">
      <c r="A79" s="12" t="s">
        <v>53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f t="shared" si="49"/>
        <v>1</v>
      </c>
      <c r="O79">
        <f t="shared" si="50"/>
        <v>1</v>
      </c>
      <c r="Q79" s="28">
        <f t="shared" si="51"/>
        <v>2</v>
      </c>
    </row>
    <row r="80" spans="1:17" x14ac:dyDescent="0.25">
      <c r="A80" s="20" t="s">
        <v>127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Q80" s="29"/>
    </row>
    <row r="81" spans="1:17" x14ac:dyDescent="0.25">
      <c r="A81" s="12" t="s">
        <v>52</v>
      </c>
      <c r="B81">
        <v>7</v>
      </c>
      <c r="C81">
        <v>3</v>
      </c>
      <c r="D81">
        <v>7</v>
      </c>
      <c r="E81">
        <v>6</v>
      </c>
      <c r="F81">
        <v>5</v>
      </c>
      <c r="G81">
        <v>3</v>
      </c>
      <c r="H81">
        <v>5</v>
      </c>
      <c r="I81">
        <v>2</v>
      </c>
      <c r="J81">
        <v>0</v>
      </c>
      <c r="K81">
        <v>0</v>
      </c>
      <c r="L81">
        <v>4</v>
      </c>
      <c r="M81">
        <v>1</v>
      </c>
      <c r="N81">
        <f t="shared" ref="N81:N82" si="52">SUM(B81, D81, F81, H81, J81, L81,)</f>
        <v>28</v>
      </c>
      <c r="O81">
        <f t="shared" ref="O81:O82" si="53">SUM(C81, E81, G81, I81, K81, M81)</f>
        <v>15</v>
      </c>
      <c r="Q81" s="28">
        <f t="shared" ref="Q81:Q82" si="54">SUM(N81, O81)</f>
        <v>43</v>
      </c>
    </row>
    <row r="82" spans="1:17" x14ac:dyDescent="0.25">
      <c r="A82" s="12" t="s">
        <v>53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f t="shared" si="52"/>
        <v>1</v>
      </c>
      <c r="O82">
        <f t="shared" si="53"/>
        <v>0</v>
      </c>
      <c r="Q82" s="28">
        <f t="shared" si="54"/>
        <v>1</v>
      </c>
    </row>
    <row r="83" spans="1:17" x14ac:dyDescent="0.25">
      <c r="A83" s="20" t="s">
        <v>194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Q83" s="29"/>
    </row>
    <row r="84" spans="1:17" x14ac:dyDescent="0.25">
      <c r="A84" s="12" t="s">
        <v>52</v>
      </c>
      <c r="B84">
        <v>6</v>
      </c>
      <c r="C84">
        <v>2</v>
      </c>
      <c r="D84">
        <v>6</v>
      </c>
      <c r="E84">
        <v>6</v>
      </c>
      <c r="F84">
        <v>5</v>
      </c>
      <c r="G84">
        <v>3</v>
      </c>
      <c r="H84">
        <v>4</v>
      </c>
      <c r="I84">
        <v>2</v>
      </c>
      <c r="J84">
        <v>0</v>
      </c>
      <c r="K84">
        <v>0</v>
      </c>
      <c r="L84">
        <v>4</v>
      </c>
      <c r="M84">
        <v>1</v>
      </c>
      <c r="N84">
        <f t="shared" ref="N84:N85" si="55">SUM(B84, D84, F84, H84, J84, L84,)</f>
        <v>25</v>
      </c>
      <c r="O84">
        <f t="shared" ref="O84:O85" si="56">SUM(C84, E84, G84, I84, K84, M84)</f>
        <v>14</v>
      </c>
      <c r="Q84" s="28">
        <f t="shared" ref="Q84:Q85" si="57">SUM(N84, O84)</f>
        <v>39</v>
      </c>
    </row>
    <row r="85" spans="1:17" x14ac:dyDescent="0.25">
      <c r="A85" s="12" t="s">
        <v>53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 t="shared" si="55"/>
        <v>1</v>
      </c>
      <c r="O85">
        <f t="shared" si="56"/>
        <v>1</v>
      </c>
      <c r="Q85" s="28">
        <f t="shared" si="57"/>
        <v>2</v>
      </c>
    </row>
    <row r="86" spans="1:17" x14ac:dyDescent="0.25">
      <c r="A86" s="20" t="s">
        <v>129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Q86" s="29"/>
    </row>
    <row r="87" spans="1:17" x14ac:dyDescent="0.25">
      <c r="A87" s="12" t="s">
        <v>52</v>
      </c>
      <c r="B87">
        <v>6</v>
      </c>
      <c r="C87">
        <v>3</v>
      </c>
      <c r="D87">
        <v>6</v>
      </c>
      <c r="E87">
        <v>6</v>
      </c>
      <c r="F87">
        <v>5</v>
      </c>
      <c r="G87">
        <v>4</v>
      </c>
      <c r="H87">
        <v>4</v>
      </c>
      <c r="I87">
        <v>2</v>
      </c>
      <c r="J87">
        <v>0</v>
      </c>
      <c r="K87">
        <v>0</v>
      </c>
      <c r="L87">
        <v>4</v>
      </c>
      <c r="M87">
        <v>1</v>
      </c>
      <c r="N87">
        <f t="shared" ref="N87:N88" si="58">SUM(B87, D87, F87, H87, J87, L87,)</f>
        <v>25</v>
      </c>
      <c r="O87">
        <f t="shared" ref="O87:O88" si="59">SUM(C87, E87, G87, I87, K87, M87)</f>
        <v>16</v>
      </c>
      <c r="Q87" s="28">
        <f t="shared" ref="Q87:Q88" si="60">SUM(N87, O87)</f>
        <v>41</v>
      </c>
    </row>
    <row r="88" spans="1:17" x14ac:dyDescent="0.25">
      <c r="A88" s="12" t="s">
        <v>53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f t="shared" si="58"/>
        <v>1</v>
      </c>
      <c r="O88">
        <f t="shared" si="59"/>
        <v>0</v>
      </c>
      <c r="Q88" s="28">
        <f t="shared" si="60"/>
        <v>1</v>
      </c>
    </row>
    <row r="89" spans="1:17" x14ac:dyDescent="0.25">
      <c r="A89" s="19" t="s">
        <v>130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Q89" s="29"/>
    </row>
    <row r="90" spans="1:17" x14ac:dyDescent="0.25">
      <c r="A90" s="12" t="s">
        <v>52</v>
      </c>
      <c r="B90">
        <v>6</v>
      </c>
      <c r="C90">
        <v>3</v>
      </c>
      <c r="D90">
        <v>7</v>
      </c>
      <c r="E90">
        <v>6</v>
      </c>
      <c r="F90">
        <v>5</v>
      </c>
      <c r="G90">
        <v>3</v>
      </c>
      <c r="H90">
        <v>4</v>
      </c>
      <c r="I90">
        <v>2</v>
      </c>
      <c r="J90">
        <v>0</v>
      </c>
      <c r="K90">
        <v>0</v>
      </c>
      <c r="L90">
        <v>4</v>
      </c>
      <c r="M90">
        <v>1</v>
      </c>
      <c r="N90">
        <f t="shared" ref="N90:N91" si="61">SUM(B90, D90, F90, H90, J90, L90,)</f>
        <v>26</v>
      </c>
      <c r="O90">
        <f t="shared" ref="O90:O91" si="62">SUM(C90, E90, G90, I90, K90, M90)</f>
        <v>15</v>
      </c>
      <c r="Q90" s="28">
        <f t="shared" ref="Q90:Q91" si="63">SUM(N90, O90)</f>
        <v>41</v>
      </c>
    </row>
    <row r="91" spans="1:17" x14ac:dyDescent="0.25">
      <c r="A91" s="12" t="s">
        <v>53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f t="shared" si="61"/>
        <v>0</v>
      </c>
      <c r="O91">
        <f t="shared" si="62"/>
        <v>0</v>
      </c>
      <c r="Q91" s="28">
        <f t="shared" si="63"/>
        <v>0</v>
      </c>
    </row>
    <row r="92" spans="1:17" x14ac:dyDescent="0.25">
      <c r="A92" s="20" t="s">
        <v>186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Q92" s="29"/>
    </row>
    <row r="93" spans="1:17" x14ac:dyDescent="0.25">
      <c r="A93" s="12" t="s">
        <v>52</v>
      </c>
      <c r="B93">
        <v>6</v>
      </c>
      <c r="C93">
        <v>3</v>
      </c>
      <c r="D93">
        <v>5</v>
      </c>
      <c r="E93">
        <v>4</v>
      </c>
      <c r="F93">
        <v>3</v>
      </c>
      <c r="G93">
        <v>1</v>
      </c>
      <c r="H93">
        <v>4</v>
      </c>
      <c r="I93">
        <v>2</v>
      </c>
      <c r="J93">
        <v>0</v>
      </c>
      <c r="K93">
        <v>0</v>
      </c>
      <c r="L93">
        <v>4</v>
      </c>
      <c r="M93">
        <v>1</v>
      </c>
      <c r="N93">
        <f t="shared" ref="N93:N94" si="64">SUM(B93, D93, F93, H93, J93, L93,)</f>
        <v>22</v>
      </c>
      <c r="O93">
        <f t="shared" ref="O93:O94" si="65">SUM(C93, E93, G93, I93, K93, M93)</f>
        <v>11</v>
      </c>
      <c r="Q93" s="28">
        <f t="shared" ref="Q93:Q94" si="66">SUM(N93, O93)</f>
        <v>33</v>
      </c>
    </row>
    <row r="94" spans="1:17" x14ac:dyDescent="0.25">
      <c r="A94" s="12" t="s">
        <v>53</v>
      </c>
      <c r="B94">
        <v>0</v>
      </c>
      <c r="C94">
        <v>0</v>
      </c>
      <c r="D94">
        <v>2</v>
      </c>
      <c r="E94">
        <v>2</v>
      </c>
      <c r="F94">
        <v>1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f t="shared" si="64"/>
        <v>3</v>
      </c>
      <c r="O94">
        <f t="shared" si="65"/>
        <v>4</v>
      </c>
      <c r="Q94" s="28">
        <f t="shared" si="66"/>
        <v>7</v>
      </c>
    </row>
    <row r="95" spans="1:17" x14ac:dyDescent="0.25">
      <c r="A95" s="20" t="s">
        <v>131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Q95" s="29"/>
    </row>
    <row r="96" spans="1:17" x14ac:dyDescent="0.25">
      <c r="A96" s="12" t="s">
        <v>52</v>
      </c>
      <c r="B96">
        <v>6</v>
      </c>
      <c r="C96">
        <v>3</v>
      </c>
      <c r="D96">
        <v>5</v>
      </c>
      <c r="E96">
        <v>4</v>
      </c>
      <c r="F96">
        <v>4</v>
      </c>
      <c r="G96">
        <v>3</v>
      </c>
      <c r="H96">
        <v>4</v>
      </c>
      <c r="I96">
        <v>1</v>
      </c>
      <c r="J96">
        <v>0</v>
      </c>
      <c r="K96">
        <v>0</v>
      </c>
      <c r="L96">
        <v>4</v>
      </c>
      <c r="M96">
        <v>1</v>
      </c>
      <c r="N96">
        <f t="shared" ref="N96:N97" si="67">SUM(B96, D96, F96, H96, J96, L96,)</f>
        <v>23</v>
      </c>
      <c r="O96">
        <f t="shared" ref="O96:O97" si="68">SUM(C96, E96, G96, I96, K96, M96)</f>
        <v>12</v>
      </c>
      <c r="Q96" s="28">
        <f t="shared" ref="Q96:Q97" si="69">SUM(N96, O96)</f>
        <v>35</v>
      </c>
    </row>
    <row r="97" spans="1:17" x14ac:dyDescent="0.25">
      <c r="A97" s="12" t="s">
        <v>53</v>
      </c>
      <c r="B97">
        <v>0</v>
      </c>
      <c r="C97">
        <v>0</v>
      </c>
      <c r="D97">
        <v>1</v>
      </c>
      <c r="E97">
        <v>2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f t="shared" si="67"/>
        <v>2</v>
      </c>
      <c r="O97">
        <f t="shared" si="68"/>
        <v>3</v>
      </c>
      <c r="Q97" s="28">
        <f t="shared" si="69"/>
        <v>5</v>
      </c>
    </row>
    <row r="98" spans="1:17" x14ac:dyDescent="0.25">
      <c r="A98" s="1"/>
      <c r="B98" s="2" t="s">
        <v>19</v>
      </c>
      <c r="C98" s="3"/>
      <c r="D98" s="4" t="s">
        <v>20</v>
      </c>
      <c r="E98" s="4"/>
      <c r="F98" s="4" t="s">
        <v>21</v>
      </c>
      <c r="G98" s="4"/>
      <c r="H98" s="4" t="s">
        <v>22</v>
      </c>
      <c r="I98" s="4"/>
      <c r="J98" s="4" t="s">
        <v>23</v>
      </c>
      <c r="K98" s="4"/>
      <c r="L98" s="4" t="s">
        <v>24</v>
      </c>
      <c r="M98" s="4"/>
      <c r="N98" s="5" t="s">
        <v>0</v>
      </c>
      <c r="O98" s="5" t="s">
        <v>1</v>
      </c>
      <c r="P98" s="16"/>
      <c r="Q98" s="6" t="s">
        <v>2</v>
      </c>
    </row>
    <row r="99" spans="1:17" x14ac:dyDescent="0.25">
      <c r="A99" s="35" t="s">
        <v>121</v>
      </c>
      <c r="B99" s="8" t="s">
        <v>4</v>
      </c>
      <c r="C99" s="8" t="s">
        <v>18</v>
      </c>
      <c r="D99" s="9" t="s">
        <v>4</v>
      </c>
      <c r="E99" s="9" t="s">
        <v>18</v>
      </c>
      <c r="F99" s="9" t="s">
        <v>4</v>
      </c>
      <c r="G99" s="9" t="s">
        <v>18</v>
      </c>
      <c r="H99" s="9" t="s">
        <v>4</v>
      </c>
      <c r="I99" s="9" t="s">
        <v>18</v>
      </c>
      <c r="J99" s="9" t="s">
        <v>4</v>
      </c>
      <c r="K99" s="9" t="s">
        <v>18</v>
      </c>
      <c r="L99" s="9" t="s">
        <v>4</v>
      </c>
      <c r="M99" s="9" t="s">
        <v>18</v>
      </c>
      <c r="N99" s="9" t="s">
        <v>5</v>
      </c>
      <c r="O99" s="9" t="s">
        <v>5</v>
      </c>
      <c r="P99" s="16"/>
      <c r="Q99" s="10" t="s">
        <v>5</v>
      </c>
    </row>
    <row r="100" spans="1:17" x14ac:dyDescent="0.25">
      <c r="A100" s="33" t="s">
        <v>122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Q100" s="29"/>
    </row>
    <row r="101" spans="1:17" x14ac:dyDescent="0.25">
      <c r="A101" s="20" t="s">
        <v>132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Q101" s="29"/>
    </row>
    <row r="102" spans="1:17" x14ac:dyDescent="0.25">
      <c r="A102" s="12" t="s">
        <v>52</v>
      </c>
      <c r="B102">
        <v>6</v>
      </c>
      <c r="C102">
        <v>3</v>
      </c>
      <c r="D102">
        <v>4</v>
      </c>
      <c r="E102">
        <v>6</v>
      </c>
      <c r="F102">
        <v>5</v>
      </c>
      <c r="G102">
        <v>2</v>
      </c>
      <c r="H102">
        <v>4</v>
      </c>
      <c r="I102">
        <v>2</v>
      </c>
      <c r="J102">
        <v>0</v>
      </c>
      <c r="K102">
        <v>0</v>
      </c>
      <c r="L102">
        <v>4</v>
      </c>
      <c r="M102">
        <v>1</v>
      </c>
      <c r="N102">
        <f t="shared" ref="N102:N103" si="70">SUM(B102, D102, F102, H102, J102, L102,)</f>
        <v>23</v>
      </c>
      <c r="O102">
        <f t="shared" ref="O102:O103" si="71">SUM(C102, E102, G102, I102, K102, M102)</f>
        <v>14</v>
      </c>
      <c r="Q102" s="28">
        <f t="shared" ref="Q102:Q103" si="72">SUM(N102, O102)</f>
        <v>37</v>
      </c>
    </row>
    <row r="103" spans="1:17" x14ac:dyDescent="0.25">
      <c r="A103" s="12" t="s">
        <v>53</v>
      </c>
      <c r="B103">
        <v>0</v>
      </c>
      <c r="C103">
        <v>0</v>
      </c>
      <c r="D103">
        <v>3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 t="shared" si="70"/>
        <v>3</v>
      </c>
      <c r="O103">
        <f t="shared" si="71"/>
        <v>1</v>
      </c>
      <c r="Q103" s="28">
        <f t="shared" si="72"/>
        <v>4</v>
      </c>
    </row>
    <row r="104" spans="1:17" x14ac:dyDescent="0.25">
      <c r="A104" s="19" t="s">
        <v>133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Q104" s="29"/>
    </row>
    <row r="105" spans="1:17" x14ac:dyDescent="0.25">
      <c r="A105" s="12" t="s">
        <v>52</v>
      </c>
      <c r="B105">
        <v>6</v>
      </c>
      <c r="C105">
        <v>3</v>
      </c>
      <c r="D105">
        <v>5</v>
      </c>
      <c r="E105">
        <v>6</v>
      </c>
      <c r="F105">
        <v>5</v>
      </c>
      <c r="G105">
        <v>2</v>
      </c>
      <c r="H105">
        <v>3</v>
      </c>
      <c r="I105">
        <v>1</v>
      </c>
      <c r="J105">
        <v>0</v>
      </c>
      <c r="K105">
        <v>0</v>
      </c>
      <c r="L105">
        <v>4</v>
      </c>
      <c r="M105">
        <v>1</v>
      </c>
      <c r="N105">
        <f t="shared" ref="N105:N106" si="73">SUM(B105, D105, F105, H105, J105, L105,)</f>
        <v>23</v>
      </c>
      <c r="O105">
        <f t="shared" ref="O105:O106" si="74">SUM(C105, E105, G105, I105, K105, M105)</f>
        <v>13</v>
      </c>
      <c r="Q105" s="28">
        <f t="shared" ref="Q105:Q106" si="75">SUM(N105, O105)</f>
        <v>36</v>
      </c>
    </row>
    <row r="106" spans="1:17" x14ac:dyDescent="0.25">
      <c r="A106" s="12" t="s">
        <v>53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f t="shared" si="73"/>
        <v>2</v>
      </c>
      <c r="O106">
        <f t="shared" si="74"/>
        <v>2</v>
      </c>
      <c r="Q106" s="28">
        <f t="shared" si="75"/>
        <v>4</v>
      </c>
    </row>
    <row r="107" spans="1:17" x14ac:dyDescent="0.25">
      <c r="A107" s="20" t="s">
        <v>134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Q107" s="29"/>
    </row>
    <row r="108" spans="1:17" x14ac:dyDescent="0.25">
      <c r="A108" s="12" t="s">
        <v>52</v>
      </c>
      <c r="B108">
        <v>6</v>
      </c>
      <c r="C108">
        <v>3</v>
      </c>
      <c r="D108">
        <v>4</v>
      </c>
      <c r="E108">
        <v>6</v>
      </c>
      <c r="F108">
        <v>5</v>
      </c>
      <c r="G108">
        <v>3</v>
      </c>
      <c r="H108">
        <v>4</v>
      </c>
      <c r="I108">
        <v>1</v>
      </c>
      <c r="J108">
        <v>0</v>
      </c>
      <c r="K108">
        <v>0</v>
      </c>
      <c r="L108">
        <v>4</v>
      </c>
      <c r="M108">
        <v>1</v>
      </c>
      <c r="N108">
        <f t="shared" ref="N108:N109" si="76">SUM(B108, D108, F108, H108, J108, L108,)</f>
        <v>23</v>
      </c>
      <c r="O108">
        <f t="shared" ref="O108:O109" si="77">SUM(C108, E108, G108, I108, K108, M108)</f>
        <v>14</v>
      </c>
      <c r="Q108" s="28">
        <f t="shared" ref="Q108:Q109" si="78">SUM(N108, O108)</f>
        <v>37</v>
      </c>
    </row>
    <row r="109" spans="1:17" x14ac:dyDescent="0.25">
      <c r="A109" s="12" t="s">
        <v>53</v>
      </c>
      <c r="B109">
        <v>0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f t="shared" si="76"/>
        <v>3</v>
      </c>
      <c r="O109">
        <f t="shared" si="77"/>
        <v>1</v>
      </c>
      <c r="Q109" s="28">
        <f t="shared" si="78"/>
        <v>4</v>
      </c>
    </row>
    <row r="110" spans="1:17" x14ac:dyDescent="0.25">
      <c r="A110" s="4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Q110" s="29"/>
    </row>
    <row r="111" spans="1:17" x14ac:dyDescent="0.25">
      <c r="A111" s="4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Q111" s="29"/>
    </row>
    <row r="112" spans="1:17" x14ac:dyDescent="0.25">
      <c r="A112" s="21" t="s">
        <v>189</v>
      </c>
    </row>
    <row r="113" spans="1:17" x14ac:dyDescent="0.25">
      <c r="A113" s="21" t="s">
        <v>190</v>
      </c>
    </row>
    <row r="115" spans="1:17" x14ac:dyDescent="0.25">
      <c r="A115" s="21" t="s">
        <v>191</v>
      </c>
    </row>
    <row r="117" spans="1:17" x14ac:dyDescent="0.25">
      <c r="H117" t="s">
        <v>192</v>
      </c>
    </row>
    <row r="118" spans="1:17" x14ac:dyDescent="0.25">
      <c r="H118" t="s">
        <v>193</v>
      </c>
    </row>
    <row r="120" spans="1:17" x14ac:dyDescent="0.25">
      <c r="A120" s="2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Q120" s="29"/>
    </row>
    <row r="121" spans="1:17" x14ac:dyDescent="0.25">
      <c r="A121" s="18" t="s">
        <v>7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Q121" s="29"/>
    </row>
    <row r="122" spans="1:17" x14ac:dyDescent="0.25">
      <c r="A122" s="12" t="s">
        <v>8</v>
      </c>
      <c r="B122" s="13"/>
      <c r="D122" s="13"/>
      <c r="F122" s="13"/>
      <c r="H122" s="13"/>
      <c r="J122" s="13"/>
      <c r="L122" s="13"/>
      <c r="N122" s="13"/>
    </row>
    <row r="123" spans="1:17" x14ac:dyDescent="0.25">
      <c r="A123" s="12" t="s">
        <v>9</v>
      </c>
    </row>
    <row r="124" spans="1:17" x14ac:dyDescent="0.25">
      <c r="A124" s="12" t="s">
        <v>10</v>
      </c>
    </row>
    <row r="125" spans="1:17" x14ac:dyDescent="0.25">
      <c r="A125" s="12" t="s">
        <v>11</v>
      </c>
    </row>
    <row r="126" spans="1:17" x14ac:dyDescent="0.25">
      <c r="A126" s="12" t="s">
        <v>12</v>
      </c>
    </row>
    <row r="127" spans="1:17" x14ac:dyDescent="0.25">
      <c r="A127" s="12" t="s">
        <v>13</v>
      </c>
    </row>
    <row r="128" spans="1:17" x14ac:dyDescent="0.25">
      <c r="A128" s="12" t="s">
        <v>14</v>
      </c>
    </row>
    <row r="129" spans="1:1" x14ac:dyDescent="0.25">
      <c r="A129" s="12" t="s">
        <v>15</v>
      </c>
    </row>
    <row r="130" spans="1:1" x14ac:dyDescent="0.25">
      <c r="A130" s="12" t="s">
        <v>16</v>
      </c>
    </row>
    <row r="131" spans="1:1" x14ac:dyDescent="0.25">
      <c r="A131" s="12" t="s">
        <v>17</v>
      </c>
    </row>
  </sheetData>
  <printOptions gridLines="1"/>
  <pageMargins left="0.44" right="0.44" top="0.75" bottom="0.46" header="0.3" footer="0.3"/>
  <pageSetup orientation="landscape" r:id="rId1"/>
  <headerFooter>
    <oddHeader>&amp;L&amp;"-,Bold"&amp;12Garza County, Texas
UNOFFICIAL RETURNS&amp;C&amp;"-,Bold"&amp;14 2018 Democratic Party 
Primary Election&amp;R&amp;"-,Bold"&amp;12March 6, 2018</oddHeader>
    <oddFooter>&amp;R&amp;P of &amp;N</oddFooter>
  </headerFooter>
  <rowBreaks count="2" manualBreakCount="2">
    <brk id="67" max="16383" man="1"/>
    <brk id="9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tabSelected="1" workbookViewId="0">
      <pane ySplit="1" topLeftCell="A2" activePane="bottomLeft" state="frozen"/>
      <selection pane="bottomLeft" activeCell="M158" sqref="M158"/>
    </sheetView>
  </sheetViews>
  <sheetFormatPr defaultRowHeight="15.75" x14ac:dyDescent="0.25"/>
  <cols>
    <col min="1" max="1" width="29.140625" style="21" customWidth="1"/>
    <col min="2" max="13" width="5.7109375" customWidth="1"/>
    <col min="16" max="16" width="1.42578125" style="13" customWidth="1"/>
    <col min="17" max="17" width="9.140625" style="28"/>
  </cols>
  <sheetData>
    <row r="1" spans="1:17" x14ac:dyDescent="0.25">
      <c r="A1" s="1"/>
      <c r="B1" s="2" t="s">
        <v>19</v>
      </c>
      <c r="C1" s="3"/>
      <c r="D1" s="4" t="s">
        <v>20</v>
      </c>
      <c r="E1" s="4"/>
      <c r="F1" s="4" t="s">
        <v>21</v>
      </c>
      <c r="G1" s="4"/>
      <c r="H1" s="4" t="s">
        <v>22</v>
      </c>
      <c r="I1" s="4"/>
      <c r="J1" s="4" t="s">
        <v>23</v>
      </c>
      <c r="K1" s="4"/>
      <c r="L1" s="4" t="s">
        <v>24</v>
      </c>
      <c r="M1" s="4"/>
      <c r="N1" s="5" t="s">
        <v>0</v>
      </c>
      <c r="O1" s="5" t="s">
        <v>1</v>
      </c>
      <c r="P1" s="16"/>
      <c r="Q1" s="6" t="s">
        <v>2</v>
      </c>
    </row>
    <row r="2" spans="1:17" x14ac:dyDescent="0.25">
      <c r="A2" s="7" t="s">
        <v>3</v>
      </c>
      <c r="B2" s="8" t="s">
        <v>4</v>
      </c>
      <c r="C2" s="8" t="s">
        <v>18</v>
      </c>
      <c r="D2" s="9" t="s">
        <v>4</v>
      </c>
      <c r="E2" s="9" t="s">
        <v>18</v>
      </c>
      <c r="F2" s="9" t="s">
        <v>4</v>
      </c>
      <c r="G2" s="9" t="s">
        <v>18</v>
      </c>
      <c r="H2" s="9" t="s">
        <v>4</v>
      </c>
      <c r="I2" s="9" t="s">
        <v>18</v>
      </c>
      <c r="J2" s="9" t="s">
        <v>4</v>
      </c>
      <c r="K2" s="9" t="s">
        <v>18</v>
      </c>
      <c r="L2" s="9" t="s">
        <v>4</v>
      </c>
      <c r="M2" s="9" t="s">
        <v>18</v>
      </c>
      <c r="N2" s="9" t="s">
        <v>5</v>
      </c>
      <c r="O2" s="9" t="s">
        <v>5</v>
      </c>
      <c r="P2" s="16"/>
      <c r="Q2" s="10" t="s">
        <v>5</v>
      </c>
    </row>
    <row r="3" spans="1:17" x14ac:dyDescent="0.25">
      <c r="A3" s="11" t="s">
        <v>6</v>
      </c>
      <c r="B3">
        <v>68</v>
      </c>
      <c r="C3">
        <v>85</v>
      </c>
      <c r="D3">
        <v>104</v>
      </c>
      <c r="E3">
        <v>131</v>
      </c>
      <c r="F3">
        <v>62</v>
      </c>
      <c r="G3">
        <v>33</v>
      </c>
      <c r="H3">
        <v>35</v>
      </c>
      <c r="I3">
        <v>21</v>
      </c>
      <c r="J3">
        <v>13</v>
      </c>
      <c r="K3">
        <v>12</v>
      </c>
      <c r="L3">
        <v>12</v>
      </c>
      <c r="M3">
        <v>25</v>
      </c>
      <c r="N3">
        <f>SUM(B3, D3, F3, H3, J3, L3)</f>
        <v>294</v>
      </c>
      <c r="O3">
        <f>SUM(C3, E3, G3, I3, K3, M3)</f>
        <v>307</v>
      </c>
      <c r="Q3" s="28">
        <f>SUM(N3, O3)</f>
        <v>601</v>
      </c>
    </row>
    <row r="4" spans="1:17" x14ac:dyDescent="0.25">
      <c r="A4" s="33" t="s">
        <v>135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29"/>
    </row>
    <row r="5" spans="1:17" x14ac:dyDescent="0.25">
      <c r="A5" s="27" t="s">
        <v>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Q5" s="29"/>
    </row>
    <row r="6" spans="1:17" ht="15" x14ac:dyDescent="0.25">
      <c r="A6" s="40" t="s">
        <v>26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Q6" s="29"/>
    </row>
    <row r="7" spans="1:17" x14ac:dyDescent="0.25">
      <c r="A7" s="22" t="s">
        <v>138</v>
      </c>
      <c r="B7">
        <v>2</v>
      </c>
      <c r="C7">
        <v>7</v>
      </c>
      <c r="D7">
        <v>6</v>
      </c>
      <c r="E7">
        <v>6</v>
      </c>
      <c r="F7">
        <v>3</v>
      </c>
      <c r="G7">
        <v>2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f t="shared" ref="N7:N11" si="0">SUM(B7, D7, F7, H7, J7, L7)</f>
        <v>13</v>
      </c>
      <c r="O7">
        <f t="shared" ref="O7:O11" si="1">SUM(C7, E7, G7, I7, K7, M7)</f>
        <v>18</v>
      </c>
      <c r="Q7" s="28">
        <f t="shared" ref="Q7:Q11" si="2">SUM(N7, O7)</f>
        <v>31</v>
      </c>
    </row>
    <row r="8" spans="1:17" x14ac:dyDescent="0.25">
      <c r="A8" s="22" t="s">
        <v>139</v>
      </c>
      <c r="B8">
        <v>2</v>
      </c>
      <c r="C8">
        <v>9</v>
      </c>
      <c r="D8">
        <v>4</v>
      </c>
      <c r="E8">
        <v>7</v>
      </c>
      <c r="F8">
        <v>3</v>
      </c>
      <c r="G8">
        <v>1</v>
      </c>
      <c r="H8">
        <v>2</v>
      </c>
      <c r="I8">
        <v>1</v>
      </c>
      <c r="J8">
        <v>0</v>
      </c>
      <c r="K8">
        <v>0</v>
      </c>
      <c r="L8">
        <v>1</v>
      </c>
      <c r="M8">
        <v>1</v>
      </c>
      <c r="N8">
        <f t="shared" si="0"/>
        <v>12</v>
      </c>
      <c r="O8">
        <f t="shared" si="1"/>
        <v>19</v>
      </c>
      <c r="Q8" s="28">
        <f t="shared" si="2"/>
        <v>31</v>
      </c>
    </row>
    <row r="9" spans="1:17" x14ac:dyDescent="0.25">
      <c r="A9" s="22" t="s">
        <v>140</v>
      </c>
      <c r="B9">
        <v>60</v>
      </c>
      <c r="C9">
        <v>64</v>
      </c>
      <c r="D9">
        <v>84</v>
      </c>
      <c r="E9">
        <v>106</v>
      </c>
      <c r="F9">
        <v>55</v>
      </c>
      <c r="G9">
        <v>29</v>
      </c>
      <c r="H9">
        <v>31</v>
      </c>
      <c r="I9">
        <v>17</v>
      </c>
      <c r="J9">
        <v>13</v>
      </c>
      <c r="K9">
        <v>9</v>
      </c>
      <c r="L9">
        <v>10</v>
      </c>
      <c r="M9">
        <v>18</v>
      </c>
      <c r="N9">
        <f t="shared" si="0"/>
        <v>253</v>
      </c>
      <c r="O9">
        <f t="shared" si="1"/>
        <v>243</v>
      </c>
      <c r="Q9" s="28">
        <f t="shared" si="2"/>
        <v>496</v>
      </c>
    </row>
    <row r="10" spans="1:17" x14ac:dyDescent="0.25">
      <c r="A10" s="22" t="s">
        <v>141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f t="shared" si="0"/>
        <v>0</v>
      </c>
      <c r="O10">
        <f t="shared" si="1"/>
        <v>2</v>
      </c>
      <c r="Q10" s="28">
        <f t="shared" si="2"/>
        <v>2</v>
      </c>
    </row>
    <row r="11" spans="1:17" x14ac:dyDescent="0.25">
      <c r="A11" s="22" t="s">
        <v>142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0"/>
        <v>1</v>
      </c>
      <c r="O11">
        <f t="shared" si="1"/>
        <v>0</v>
      </c>
      <c r="Q11" s="28">
        <f t="shared" si="2"/>
        <v>1</v>
      </c>
    </row>
    <row r="12" spans="1:17" x14ac:dyDescent="0.25">
      <c r="A12" s="19" t="s">
        <v>27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Q12" s="29"/>
    </row>
    <row r="13" spans="1:17" ht="15" x14ac:dyDescent="0.25">
      <c r="A13" s="39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Q13" s="29"/>
    </row>
    <row r="14" spans="1:17" x14ac:dyDescent="0.25">
      <c r="A14" s="22" t="s">
        <v>143</v>
      </c>
      <c r="B14">
        <v>57</v>
      </c>
      <c r="C14">
        <v>73</v>
      </c>
      <c r="D14">
        <v>91</v>
      </c>
      <c r="E14">
        <v>106</v>
      </c>
      <c r="F14">
        <v>56</v>
      </c>
      <c r="G14">
        <v>30</v>
      </c>
      <c r="H14">
        <v>32</v>
      </c>
      <c r="I14">
        <v>19</v>
      </c>
      <c r="J14">
        <v>12</v>
      </c>
      <c r="K14">
        <v>11</v>
      </c>
      <c r="L14">
        <v>11</v>
      </c>
      <c r="M14">
        <v>18</v>
      </c>
      <c r="N14">
        <f>SUM(B14, D14, F14, H14, J14, L14)</f>
        <v>259</v>
      </c>
      <c r="O14">
        <f>SUM(C14, E14, G14, I14, K14, M14)</f>
        <v>257</v>
      </c>
      <c r="Q14" s="28">
        <f>SUM(N14, O14)</f>
        <v>516</v>
      </c>
    </row>
    <row r="15" spans="1:17" x14ac:dyDescent="0.25">
      <c r="A15" s="15" t="s">
        <v>29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Q15" s="29"/>
    </row>
    <row r="16" spans="1:17" x14ac:dyDescent="0.25">
      <c r="A16" s="19" t="s">
        <v>30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Q16" s="29"/>
    </row>
    <row r="17" spans="1:17" x14ac:dyDescent="0.25">
      <c r="A17" s="22" t="s">
        <v>144</v>
      </c>
      <c r="B17">
        <v>3</v>
      </c>
      <c r="C17">
        <v>8</v>
      </c>
      <c r="D17">
        <v>10</v>
      </c>
      <c r="E17">
        <v>7</v>
      </c>
      <c r="F17">
        <v>2</v>
      </c>
      <c r="G17">
        <v>0</v>
      </c>
      <c r="H17">
        <v>1</v>
      </c>
      <c r="I17">
        <v>1</v>
      </c>
      <c r="J17">
        <v>2</v>
      </c>
      <c r="K17">
        <v>3</v>
      </c>
      <c r="L17">
        <v>1</v>
      </c>
      <c r="M17">
        <v>0</v>
      </c>
      <c r="N17">
        <f t="shared" ref="N17:N19" si="3">SUM(B17, D17, F17, H17, J17, L17)</f>
        <v>19</v>
      </c>
      <c r="O17">
        <f t="shared" ref="O17:O19" si="4">SUM(C17, E17, G17, I17, K17, M17)</f>
        <v>19</v>
      </c>
      <c r="Q17" s="28">
        <f t="shared" ref="Q17:Q19" si="5">SUM(N17, O17)</f>
        <v>38</v>
      </c>
    </row>
    <row r="18" spans="1:17" x14ac:dyDescent="0.25">
      <c r="A18" s="22" t="s">
        <v>55</v>
      </c>
      <c r="B18">
        <v>60</v>
      </c>
      <c r="C18">
        <v>71</v>
      </c>
      <c r="D18">
        <v>86</v>
      </c>
      <c r="E18">
        <v>111</v>
      </c>
      <c r="F18">
        <v>53</v>
      </c>
      <c r="G18">
        <v>32</v>
      </c>
      <c r="H18">
        <v>34</v>
      </c>
      <c r="I18">
        <v>17</v>
      </c>
      <c r="J18">
        <v>11</v>
      </c>
      <c r="K18">
        <v>8</v>
      </c>
      <c r="L18">
        <v>11</v>
      </c>
      <c r="M18">
        <v>19</v>
      </c>
      <c r="N18">
        <f t="shared" si="3"/>
        <v>255</v>
      </c>
      <c r="O18">
        <f t="shared" si="4"/>
        <v>258</v>
      </c>
      <c r="Q18" s="28">
        <f t="shared" si="5"/>
        <v>513</v>
      </c>
    </row>
    <row r="19" spans="1:17" x14ac:dyDescent="0.25">
      <c r="A19" s="22" t="s">
        <v>54</v>
      </c>
      <c r="B19">
        <v>0</v>
      </c>
      <c r="C19">
        <v>2</v>
      </c>
      <c r="D19">
        <v>1</v>
      </c>
      <c r="E19">
        <v>4</v>
      </c>
      <c r="F19">
        <v>5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f t="shared" si="3"/>
        <v>6</v>
      </c>
      <c r="O19">
        <f t="shared" si="4"/>
        <v>8</v>
      </c>
      <c r="Q19" s="28">
        <f t="shared" si="5"/>
        <v>14</v>
      </c>
    </row>
    <row r="20" spans="1:17" x14ac:dyDescent="0.25">
      <c r="A20" s="19" t="s">
        <v>31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Q20" s="29"/>
    </row>
    <row r="21" spans="1:17" x14ac:dyDescent="0.25">
      <c r="A21" s="14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Q21" s="29"/>
    </row>
    <row r="22" spans="1:17" x14ac:dyDescent="0.25">
      <c r="A22" s="22" t="s">
        <v>145</v>
      </c>
      <c r="B22">
        <v>20</v>
      </c>
      <c r="C22">
        <v>38</v>
      </c>
      <c r="D22">
        <v>28</v>
      </c>
      <c r="E22">
        <v>51</v>
      </c>
      <c r="F22">
        <v>15</v>
      </c>
      <c r="G22">
        <v>12</v>
      </c>
      <c r="H22">
        <v>6</v>
      </c>
      <c r="I22">
        <v>5</v>
      </c>
      <c r="J22">
        <v>4</v>
      </c>
      <c r="K22">
        <v>10</v>
      </c>
      <c r="L22">
        <v>1</v>
      </c>
      <c r="M22">
        <v>8</v>
      </c>
      <c r="N22">
        <f t="shared" ref="N22:N23" si="6">SUM(B22, D22, F22, H22, J22, L22)</f>
        <v>74</v>
      </c>
      <c r="O22">
        <f t="shared" ref="O22:O23" si="7">SUM(C22, E22, G22, I22, K22, M22)</f>
        <v>124</v>
      </c>
      <c r="Q22" s="28">
        <f t="shared" ref="Q22:Q23" si="8">SUM(N22, O22)</f>
        <v>198</v>
      </c>
    </row>
    <row r="23" spans="1:17" x14ac:dyDescent="0.25">
      <c r="A23" s="22" t="s">
        <v>56</v>
      </c>
      <c r="B23">
        <v>41</v>
      </c>
      <c r="C23">
        <v>41</v>
      </c>
      <c r="D23">
        <v>68</v>
      </c>
      <c r="E23">
        <v>69</v>
      </c>
      <c r="F23">
        <v>44</v>
      </c>
      <c r="G23">
        <v>17</v>
      </c>
      <c r="H23">
        <v>28</v>
      </c>
      <c r="I23">
        <v>15</v>
      </c>
      <c r="J23">
        <v>8</v>
      </c>
      <c r="K23">
        <v>2</v>
      </c>
      <c r="L23">
        <v>10</v>
      </c>
      <c r="M23">
        <v>13</v>
      </c>
      <c r="N23">
        <f t="shared" si="6"/>
        <v>199</v>
      </c>
      <c r="O23">
        <f t="shared" si="7"/>
        <v>157</v>
      </c>
      <c r="Q23" s="28">
        <f t="shared" si="8"/>
        <v>356</v>
      </c>
    </row>
    <row r="24" spans="1:17" x14ac:dyDescent="0.25">
      <c r="A24" s="19" t="s">
        <v>33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Q24" s="29"/>
    </row>
    <row r="25" spans="1:17" ht="15" x14ac:dyDescent="0.25">
      <c r="A25" s="37" t="s">
        <v>34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Q25" s="29"/>
    </row>
    <row r="26" spans="1:17" x14ac:dyDescent="0.25">
      <c r="A26" s="26" t="s">
        <v>58</v>
      </c>
      <c r="B26">
        <v>54</v>
      </c>
      <c r="C26">
        <v>70</v>
      </c>
      <c r="D26">
        <v>87</v>
      </c>
      <c r="E26">
        <v>85</v>
      </c>
      <c r="F26">
        <v>50</v>
      </c>
      <c r="G26">
        <v>25</v>
      </c>
      <c r="H26">
        <v>30</v>
      </c>
      <c r="I26">
        <v>14</v>
      </c>
      <c r="J26">
        <v>13</v>
      </c>
      <c r="K26">
        <v>8</v>
      </c>
      <c r="L26">
        <v>10</v>
      </c>
      <c r="M26">
        <v>18</v>
      </c>
      <c r="N26">
        <f>SUM(B26, D26, F26, H26, J26, L26)</f>
        <v>244</v>
      </c>
      <c r="O26">
        <f>SUM(C26, E26, G26, I26, K26, M26)</f>
        <v>220</v>
      </c>
      <c r="Q26" s="28">
        <f>SUM(N26, O26)</f>
        <v>464</v>
      </c>
    </row>
    <row r="27" spans="1:17" x14ac:dyDescent="0.25">
      <c r="A27" s="19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Q27" s="29"/>
    </row>
    <row r="28" spans="1:17" x14ac:dyDescent="0.25">
      <c r="A28" s="14" t="s">
        <v>36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Q28" s="29"/>
    </row>
    <row r="29" spans="1:17" x14ac:dyDescent="0.25">
      <c r="A29" s="26" t="s">
        <v>59</v>
      </c>
      <c r="B29">
        <v>51</v>
      </c>
      <c r="C29">
        <v>68</v>
      </c>
      <c r="D29">
        <v>82</v>
      </c>
      <c r="E29">
        <v>83</v>
      </c>
      <c r="F29">
        <v>50</v>
      </c>
      <c r="G29">
        <v>22</v>
      </c>
      <c r="H29">
        <v>29</v>
      </c>
      <c r="I29">
        <v>15</v>
      </c>
      <c r="J29">
        <v>12</v>
      </c>
      <c r="K29">
        <v>8</v>
      </c>
      <c r="L29">
        <v>10</v>
      </c>
      <c r="M29">
        <v>18</v>
      </c>
      <c r="N29">
        <f>SUM(B29, D29, F29, H29, J29, L29)</f>
        <v>234</v>
      </c>
      <c r="O29">
        <f>SUM(C29, E29, G29, I29, K29, M29)</f>
        <v>214</v>
      </c>
      <c r="Q29" s="28">
        <f>SUM(N29, O29)</f>
        <v>448</v>
      </c>
    </row>
    <row r="30" spans="1:17" x14ac:dyDescent="0.25">
      <c r="A30" s="4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Q30" s="29"/>
    </row>
    <row r="31" spans="1:17" x14ac:dyDescent="0.25">
      <c r="A31" s="1"/>
      <c r="B31" s="2" t="s">
        <v>19</v>
      </c>
      <c r="C31" s="3"/>
      <c r="D31" s="4" t="s">
        <v>20</v>
      </c>
      <c r="E31" s="4"/>
      <c r="F31" s="4" t="s">
        <v>21</v>
      </c>
      <c r="G31" s="4"/>
      <c r="H31" s="4" t="s">
        <v>22</v>
      </c>
      <c r="I31" s="4"/>
      <c r="J31" s="4" t="s">
        <v>23</v>
      </c>
      <c r="K31" s="4"/>
      <c r="L31" s="4" t="s">
        <v>24</v>
      </c>
      <c r="M31" s="4"/>
      <c r="N31" s="5" t="s">
        <v>0</v>
      </c>
      <c r="O31" s="5" t="s">
        <v>1</v>
      </c>
      <c r="P31" s="16"/>
      <c r="Q31" s="6" t="s">
        <v>2</v>
      </c>
    </row>
    <row r="32" spans="1:17" x14ac:dyDescent="0.25">
      <c r="A32" s="7" t="s">
        <v>3</v>
      </c>
      <c r="B32" s="8" t="s">
        <v>4</v>
      </c>
      <c r="C32" s="8" t="s">
        <v>18</v>
      </c>
      <c r="D32" s="9" t="s">
        <v>4</v>
      </c>
      <c r="E32" s="9" t="s">
        <v>18</v>
      </c>
      <c r="F32" s="9" t="s">
        <v>4</v>
      </c>
      <c r="G32" s="9" t="s">
        <v>18</v>
      </c>
      <c r="H32" s="9" t="s">
        <v>4</v>
      </c>
      <c r="I32" s="9" t="s">
        <v>18</v>
      </c>
      <c r="J32" s="9" t="s">
        <v>4</v>
      </c>
      <c r="K32" s="9" t="s">
        <v>18</v>
      </c>
      <c r="L32" s="9" t="s">
        <v>4</v>
      </c>
      <c r="M32" s="9" t="s">
        <v>18</v>
      </c>
      <c r="N32" s="9" t="s">
        <v>5</v>
      </c>
      <c r="O32" s="9" t="s">
        <v>5</v>
      </c>
      <c r="P32" s="16"/>
      <c r="Q32" s="10" t="s">
        <v>5</v>
      </c>
    </row>
    <row r="33" spans="1:17" x14ac:dyDescent="0.25">
      <c r="A33" s="19" t="s">
        <v>38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Q33" s="29"/>
    </row>
    <row r="34" spans="1:17" ht="15" x14ac:dyDescent="0.25">
      <c r="A34" s="37" t="s">
        <v>39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Q34" s="29"/>
    </row>
    <row r="35" spans="1:17" x14ac:dyDescent="0.25">
      <c r="A35" s="22" t="s">
        <v>57</v>
      </c>
      <c r="B35">
        <v>16</v>
      </c>
      <c r="C35">
        <v>18</v>
      </c>
      <c r="D35">
        <v>17</v>
      </c>
      <c r="E35">
        <v>29</v>
      </c>
      <c r="F35">
        <v>16</v>
      </c>
      <c r="G35">
        <v>11</v>
      </c>
      <c r="H35">
        <v>8</v>
      </c>
      <c r="I35">
        <v>3</v>
      </c>
      <c r="J35">
        <v>2</v>
      </c>
      <c r="K35">
        <v>0</v>
      </c>
      <c r="L35">
        <v>0</v>
      </c>
      <c r="M35">
        <v>2</v>
      </c>
      <c r="N35">
        <f t="shared" ref="N35:N38" si="9">SUM(B35, D35, F35, H35, J35, L35)</f>
        <v>59</v>
      </c>
      <c r="O35">
        <f t="shared" ref="O35:O38" si="10">SUM(C35, E35, G35, I35, K35, M35)</f>
        <v>63</v>
      </c>
      <c r="Q35" s="28">
        <f t="shared" ref="Q35:Q38" si="11">SUM(N35, O35)</f>
        <v>122</v>
      </c>
    </row>
    <row r="36" spans="1:17" x14ac:dyDescent="0.25">
      <c r="A36" s="22" t="s">
        <v>146</v>
      </c>
      <c r="B36">
        <v>3</v>
      </c>
      <c r="C36">
        <v>4</v>
      </c>
      <c r="D36">
        <v>3</v>
      </c>
      <c r="E36">
        <v>8</v>
      </c>
      <c r="F36">
        <v>4</v>
      </c>
      <c r="G36">
        <v>2</v>
      </c>
      <c r="H36">
        <v>2</v>
      </c>
      <c r="I36">
        <v>2</v>
      </c>
      <c r="J36">
        <v>0</v>
      </c>
      <c r="K36">
        <v>0</v>
      </c>
      <c r="L36">
        <v>1</v>
      </c>
      <c r="M36">
        <v>2</v>
      </c>
      <c r="N36">
        <f t="shared" si="9"/>
        <v>13</v>
      </c>
      <c r="O36">
        <f t="shared" si="10"/>
        <v>18</v>
      </c>
      <c r="Q36" s="28">
        <f t="shared" si="11"/>
        <v>31</v>
      </c>
    </row>
    <row r="37" spans="1:17" x14ac:dyDescent="0.25">
      <c r="A37" s="22" t="s">
        <v>147</v>
      </c>
      <c r="B37">
        <v>5</v>
      </c>
      <c r="C37">
        <v>2</v>
      </c>
      <c r="D37">
        <v>9</v>
      </c>
      <c r="E37">
        <v>5</v>
      </c>
      <c r="F37">
        <v>6</v>
      </c>
      <c r="G37">
        <v>2</v>
      </c>
      <c r="H37">
        <v>1</v>
      </c>
      <c r="I37">
        <v>1</v>
      </c>
      <c r="J37">
        <v>3</v>
      </c>
      <c r="K37">
        <v>0</v>
      </c>
      <c r="L37">
        <v>0</v>
      </c>
      <c r="M37">
        <v>2</v>
      </c>
      <c r="N37">
        <f t="shared" si="9"/>
        <v>24</v>
      </c>
      <c r="O37">
        <f t="shared" si="10"/>
        <v>12</v>
      </c>
      <c r="Q37" s="28">
        <f t="shared" si="11"/>
        <v>36</v>
      </c>
    </row>
    <row r="38" spans="1:17" x14ac:dyDescent="0.25">
      <c r="A38" s="22" t="s">
        <v>60</v>
      </c>
      <c r="B38">
        <v>33</v>
      </c>
      <c r="C38">
        <v>50</v>
      </c>
      <c r="D38">
        <v>61</v>
      </c>
      <c r="E38">
        <v>73</v>
      </c>
      <c r="F38">
        <v>33</v>
      </c>
      <c r="G38">
        <v>13</v>
      </c>
      <c r="H38">
        <v>20</v>
      </c>
      <c r="I38">
        <v>13</v>
      </c>
      <c r="J38">
        <v>8</v>
      </c>
      <c r="K38">
        <v>11</v>
      </c>
      <c r="L38">
        <v>10</v>
      </c>
      <c r="M38">
        <v>14</v>
      </c>
      <c r="N38">
        <f t="shared" si="9"/>
        <v>165</v>
      </c>
      <c r="O38">
        <f t="shared" si="10"/>
        <v>174</v>
      </c>
      <c r="Q38" s="28">
        <f t="shared" si="11"/>
        <v>339</v>
      </c>
    </row>
    <row r="39" spans="1:17" x14ac:dyDescent="0.25">
      <c r="A39" s="19" t="s">
        <v>40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Q39" s="29"/>
    </row>
    <row r="40" spans="1:17" x14ac:dyDescent="0.25">
      <c r="A40" s="14" t="s">
        <v>41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Q40" s="29"/>
    </row>
    <row r="41" spans="1:17" x14ac:dyDescent="0.25">
      <c r="A41" s="22" t="s">
        <v>42</v>
      </c>
      <c r="B41">
        <v>10</v>
      </c>
      <c r="C41">
        <v>12</v>
      </c>
      <c r="D41">
        <v>19</v>
      </c>
      <c r="E41">
        <v>23</v>
      </c>
      <c r="F41">
        <v>11</v>
      </c>
      <c r="G41">
        <v>3</v>
      </c>
      <c r="H41">
        <v>10</v>
      </c>
      <c r="I41">
        <v>4</v>
      </c>
      <c r="J41">
        <v>1</v>
      </c>
      <c r="K41">
        <v>3</v>
      </c>
      <c r="L41">
        <v>1</v>
      </c>
      <c r="M41">
        <v>5</v>
      </c>
      <c r="N41">
        <f t="shared" ref="N41:N43" si="12">SUM(B41, D41, F41, H41, J41, L41)</f>
        <v>52</v>
      </c>
      <c r="O41">
        <f t="shared" ref="O41:O43" si="13">SUM(C41, E41, G41, I41, K41, M41)</f>
        <v>50</v>
      </c>
      <c r="Q41" s="28">
        <f t="shared" ref="Q41:Q43" si="14">SUM(N41, O41)</f>
        <v>102</v>
      </c>
    </row>
    <row r="42" spans="1:17" x14ac:dyDescent="0.25">
      <c r="A42" s="22" t="s">
        <v>61</v>
      </c>
      <c r="B42">
        <v>35</v>
      </c>
      <c r="C42">
        <v>46</v>
      </c>
      <c r="D42">
        <v>47</v>
      </c>
      <c r="E42">
        <v>62</v>
      </c>
      <c r="F42">
        <v>32</v>
      </c>
      <c r="G42">
        <v>17</v>
      </c>
      <c r="H42">
        <v>18</v>
      </c>
      <c r="I42">
        <v>11</v>
      </c>
      <c r="J42">
        <v>10</v>
      </c>
      <c r="K42">
        <v>6</v>
      </c>
      <c r="L42">
        <v>7</v>
      </c>
      <c r="M42">
        <v>12</v>
      </c>
      <c r="N42">
        <f t="shared" si="12"/>
        <v>149</v>
      </c>
      <c r="O42">
        <f t="shared" si="13"/>
        <v>154</v>
      </c>
      <c r="Q42" s="28">
        <f t="shared" si="14"/>
        <v>303</v>
      </c>
    </row>
    <row r="43" spans="1:17" x14ac:dyDescent="0.25">
      <c r="A43" s="22" t="s">
        <v>148</v>
      </c>
      <c r="B43">
        <v>9</v>
      </c>
      <c r="C43">
        <v>14</v>
      </c>
      <c r="D43">
        <v>25</v>
      </c>
      <c r="E43">
        <v>23</v>
      </c>
      <c r="F43">
        <v>9</v>
      </c>
      <c r="G43">
        <v>8</v>
      </c>
      <c r="H43">
        <v>3</v>
      </c>
      <c r="I43">
        <v>1</v>
      </c>
      <c r="J43">
        <v>0</v>
      </c>
      <c r="K43">
        <v>0</v>
      </c>
      <c r="L43">
        <v>1</v>
      </c>
      <c r="M43">
        <v>3</v>
      </c>
      <c r="N43">
        <f t="shared" si="12"/>
        <v>47</v>
      </c>
      <c r="O43">
        <f t="shared" si="13"/>
        <v>49</v>
      </c>
      <c r="Q43" s="28">
        <f t="shared" si="14"/>
        <v>96</v>
      </c>
    </row>
    <row r="44" spans="1:17" x14ac:dyDescent="0.25">
      <c r="A44" s="19" t="s">
        <v>43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Q44" s="29"/>
    </row>
    <row r="45" spans="1:17" ht="15" x14ac:dyDescent="0.25">
      <c r="A45" s="37" t="s">
        <v>44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Q45" s="29"/>
    </row>
    <row r="46" spans="1:17" x14ac:dyDescent="0.25">
      <c r="A46" s="22" t="s">
        <v>149</v>
      </c>
      <c r="B46">
        <v>10</v>
      </c>
      <c r="C46">
        <v>18</v>
      </c>
      <c r="D46">
        <v>16</v>
      </c>
      <c r="E46">
        <v>26</v>
      </c>
      <c r="F46">
        <v>12</v>
      </c>
      <c r="G46">
        <v>5</v>
      </c>
      <c r="H46">
        <v>8</v>
      </c>
      <c r="I46">
        <v>5</v>
      </c>
      <c r="J46">
        <v>0</v>
      </c>
      <c r="K46">
        <v>1</v>
      </c>
      <c r="L46">
        <v>3</v>
      </c>
      <c r="M46">
        <v>3</v>
      </c>
      <c r="N46">
        <f t="shared" ref="N46:N47" si="15">SUM(B46, D46, F46, H46, J46, L46)</f>
        <v>49</v>
      </c>
      <c r="O46">
        <f t="shared" ref="O46:O47" si="16">SUM(C46, E46, G46, I46, K46, M46)</f>
        <v>58</v>
      </c>
      <c r="Q46" s="28">
        <f t="shared" ref="Q46:Q47" si="17">SUM(N46, O46)</f>
        <v>107</v>
      </c>
    </row>
    <row r="47" spans="1:17" x14ac:dyDescent="0.25">
      <c r="A47" s="22" t="s">
        <v>150</v>
      </c>
      <c r="B47">
        <v>42</v>
      </c>
      <c r="C47">
        <v>52</v>
      </c>
      <c r="D47">
        <v>75</v>
      </c>
      <c r="E47">
        <v>79</v>
      </c>
      <c r="F47">
        <v>40</v>
      </c>
      <c r="G47">
        <v>22</v>
      </c>
      <c r="H47">
        <v>23</v>
      </c>
      <c r="I47">
        <v>13</v>
      </c>
      <c r="J47">
        <v>10</v>
      </c>
      <c r="K47">
        <v>6</v>
      </c>
      <c r="L47">
        <v>7</v>
      </c>
      <c r="M47">
        <v>18</v>
      </c>
      <c r="N47">
        <f t="shared" si="15"/>
        <v>197</v>
      </c>
      <c r="O47">
        <f t="shared" si="16"/>
        <v>190</v>
      </c>
      <c r="Q47" s="28">
        <f t="shared" si="17"/>
        <v>387</v>
      </c>
    </row>
    <row r="48" spans="1:17" x14ac:dyDescent="0.25">
      <c r="A48" s="19" t="s">
        <v>110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Q48" s="29"/>
    </row>
    <row r="49" spans="1:17" ht="15" x14ac:dyDescent="0.25">
      <c r="A49" s="37" t="s">
        <v>153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Q49" s="29"/>
    </row>
    <row r="50" spans="1:17" x14ac:dyDescent="0.25">
      <c r="A50" s="22" t="s">
        <v>151</v>
      </c>
      <c r="B50">
        <v>45</v>
      </c>
      <c r="C50">
        <v>64</v>
      </c>
      <c r="D50">
        <v>81</v>
      </c>
      <c r="E50">
        <v>85</v>
      </c>
      <c r="F50">
        <v>46</v>
      </c>
      <c r="G50">
        <v>22</v>
      </c>
      <c r="H50">
        <v>29</v>
      </c>
      <c r="I50">
        <v>14</v>
      </c>
      <c r="J50">
        <v>11</v>
      </c>
      <c r="K50">
        <v>7</v>
      </c>
      <c r="L50">
        <v>8</v>
      </c>
      <c r="M50">
        <v>18</v>
      </c>
      <c r="N50">
        <f>SUM(B50, D50, F50, H50, J50, L50)</f>
        <v>220</v>
      </c>
      <c r="O50">
        <f>SUM(C50, E50, G50, I50, K50, M50)</f>
        <v>210</v>
      </c>
      <c r="Q50" s="28">
        <f>SUM(N50, O50)</f>
        <v>430</v>
      </c>
    </row>
    <row r="51" spans="1:17" x14ac:dyDescent="0.25">
      <c r="A51" s="19" t="s">
        <v>112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Q51" s="29"/>
    </row>
    <row r="52" spans="1:17" ht="15" x14ac:dyDescent="0.25">
      <c r="A52" s="37" t="s">
        <v>154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Q52" s="29"/>
    </row>
    <row r="53" spans="1:17" x14ac:dyDescent="0.25">
      <c r="A53" s="22" t="s">
        <v>152</v>
      </c>
      <c r="B53">
        <v>45</v>
      </c>
      <c r="C53">
        <v>62</v>
      </c>
      <c r="D53">
        <v>81</v>
      </c>
      <c r="E53">
        <v>82</v>
      </c>
      <c r="F53">
        <v>46</v>
      </c>
      <c r="G53">
        <v>21</v>
      </c>
      <c r="H53">
        <v>28</v>
      </c>
      <c r="I53">
        <v>14</v>
      </c>
      <c r="J53">
        <v>11</v>
      </c>
      <c r="K53">
        <v>7</v>
      </c>
      <c r="L53">
        <v>8</v>
      </c>
      <c r="M53">
        <v>18</v>
      </c>
      <c r="N53">
        <f>SUM(B53, D53, F53, H53, J53, L53)</f>
        <v>219</v>
      </c>
      <c r="O53">
        <f>SUM(C53, E53, G53, I53, K53, M53)</f>
        <v>204</v>
      </c>
      <c r="Q53" s="28">
        <f>SUM(N53, O53)</f>
        <v>423</v>
      </c>
    </row>
    <row r="54" spans="1:17" x14ac:dyDescent="0.25">
      <c r="A54" s="19" t="s">
        <v>46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Q54" s="29"/>
    </row>
    <row r="55" spans="1:17" ht="15" x14ac:dyDescent="0.25">
      <c r="A55" s="37" t="s">
        <v>47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Q55" s="29"/>
    </row>
    <row r="56" spans="1:17" x14ac:dyDescent="0.25">
      <c r="A56" s="22" t="s">
        <v>62</v>
      </c>
      <c r="B56">
        <v>40</v>
      </c>
      <c r="C56">
        <v>57</v>
      </c>
      <c r="D56">
        <v>80</v>
      </c>
      <c r="E56">
        <v>82</v>
      </c>
      <c r="F56">
        <v>46</v>
      </c>
      <c r="G56">
        <v>21</v>
      </c>
      <c r="H56">
        <v>28</v>
      </c>
      <c r="I56">
        <v>14</v>
      </c>
      <c r="J56">
        <v>11</v>
      </c>
      <c r="K56">
        <v>7</v>
      </c>
      <c r="L56">
        <v>8</v>
      </c>
      <c r="M56">
        <v>18</v>
      </c>
      <c r="N56">
        <f t="shared" ref="N56" si="18">SUM(B56, D56, F56, H56, J56, L56)</f>
        <v>213</v>
      </c>
      <c r="O56">
        <f t="shared" ref="O56" si="19">SUM(C56, E56, G56, I56, K56, M56)</f>
        <v>199</v>
      </c>
      <c r="Q56" s="28">
        <f t="shared" ref="Q56" si="20">SUM(N56, O56)</f>
        <v>412</v>
      </c>
    </row>
    <row r="59" spans="1:17" x14ac:dyDescent="0.25">
      <c r="A59" s="20" t="s">
        <v>155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Q59" s="29"/>
    </row>
    <row r="60" spans="1:17" ht="15" x14ac:dyDescent="0.25">
      <c r="A60" s="41" t="s">
        <v>124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Q60" s="29"/>
    </row>
    <row r="61" spans="1:17" x14ac:dyDescent="0.25">
      <c r="A61" s="22" t="s">
        <v>156</v>
      </c>
      <c r="B61">
        <v>30</v>
      </c>
      <c r="C61">
        <v>41</v>
      </c>
      <c r="D61">
        <v>42</v>
      </c>
      <c r="E61">
        <v>66</v>
      </c>
      <c r="F61">
        <v>38</v>
      </c>
      <c r="G61">
        <v>15</v>
      </c>
      <c r="H61">
        <v>20</v>
      </c>
      <c r="I61">
        <v>10</v>
      </c>
      <c r="J61">
        <v>8</v>
      </c>
      <c r="K61">
        <v>2</v>
      </c>
      <c r="L61">
        <v>6</v>
      </c>
      <c r="M61">
        <v>15</v>
      </c>
      <c r="N61">
        <f t="shared" ref="N61:N62" si="21">SUM(B61, D61, F61, H61, J61, L61)</f>
        <v>144</v>
      </c>
      <c r="O61">
        <f t="shared" ref="O61:O62" si="22">SUM(C61, E61, G61, I61, K61, M61)</f>
        <v>149</v>
      </c>
      <c r="Q61" s="28">
        <f t="shared" ref="Q61:Q62" si="23">SUM(N61, O61)</f>
        <v>293</v>
      </c>
    </row>
    <row r="62" spans="1:17" x14ac:dyDescent="0.25">
      <c r="A62" s="22" t="s">
        <v>157</v>
      </c>
      <c r="B62">
        <v>22</v>
      </c>
      <c r="C62">
        <v>24</v>
      </c>
      <c r="D62">
        <v>40</v>
      </c>
      <c r="E62">
        <v>33</v>
      </c>
      <c r="F62">
        <v>17</v>
      </c>
      <c r="G62">
        <v>10</v>
      </c>
      <c r="H62">
        <v>12</v>
      </c>
      <c r="I62">
        <v>8</v>
      </c>
      <c r="J62">
        <v>1</v>
      </c>
      <c r="K62">
        <v>4</v>
      </c>
      <c r="L62">
        <v>4</v>
      </c>
      <c r="M62">
        <v>6</v>
      </c>
      <c r="N62">
        <f t="shared" si="21"/>
        <v>96</v>
      </c>
      <c r="O62">
        <f t="shared" si="22"/>
        <v>85</v>
      </c>
      <c r="Q62" s="28">
        <f t="shared" si="23"/>
        <v>181</v>
      </c>
    </row>
    <row r="63" spans="1:17" x14ac:dyDescent="0.25">
      <c r="A63" s="19" t="s">
        <v>116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Q63" s="29"/>
    </row>
    <row r="64" spans="1:17" ht="15" x14ac:dyDescent="0.25">
      <c r="A64" s="38" t="s">
        <v>117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Q64" s="29"/>
    </row>
    <row r="65" spans="1:17" x14ac:dyDescent="0.25">
      <c r="A65" s="22" t="s">
        <v>158</v>
      </c>
      <c r="B65">
        <v>40</v>
      </c>
      <c r="C65">
        <v>60</v>
      </c>
      <c r="D65">
        <v>81</v>
      </c>
      <c r="E65">
        <v>86</v>
      </c>
      <c r="F65">
        <v>46</v>
      </c>
      <c r="G65">
        <v>19</v>
      </c>
      <c r="H65">
        <v>28</v>
      </c>
      <c r="I65">
        <v>15</v>
      </c>
      <c r="J65">
        <v>10</v>
      </c>
      <c r="K65">
        <v>7</v>
      </c>
      <c r="L65">
        <v>9</v>
      </c>
      <c r="M65">
        <v>17</v>
      </c>
      <c r="N65">
        <f>SUM(B65, D65, F65, H65, J65, L65)</f>
        <v>214</v>
      </c>
      <c r="O65">
        <f>SUM(C65, E65, G65, I65, K65, M65)</f>
        <v>204</v>
      </c>
      <c r="Q65" s="28">
        <f>SUM(N65, O65)</f>
        <v>418</v>
      </c>
    </row>
    <row r="66" spans="1:17" x14ac:dyDescent="0.25">
      <c r="A66" s="1"/>
      <c r="B66" s="2" t="s">
        <v>19</v>
      </c>
      <c r="C66" s="3"/>
      <c r="D66" s="4" t="s">
        <v>20</v>
      </c>
      <c r="E66" s="4"/>
      <c r="F66" s="4" t="s">
        <v>21</v>
      </c>
      <c r="G66" s="4"/>
      <c r="H66" s="4" t="s">
        <v>22</v>
      </c>
      <c r="I66" s="4"/>
      <c r="J66" s="4" t="s">
        <v>23</v>
      </c>
      <c r="K66" s="4"/>
      <c r="L66" s="4" t="s">
        <v>24</v>
      </c>
      <c r="M66" s="4"/>
      <c r="N66" s="5" t="s">
        <v>0</v>
      </c>
      <c r="O66" s="5" t="s">
        <v>1</v>
      </c>
      <c r="P66" s="16"/>
      <c r="Q66" s="6" t="s">
        <v>2</v>
      </c>
    </row>
    <row r="67" spans="1:17" x14ac:dyDescent="0.25">
      <c r="A67" s="7" t="s">
        <v>3</v>
      </c>
      <c r="B67" s="8" t="s">
        <v>4</v>
      </c>
      <c r="C67" s="8" t="s">
        <v>18</v>
      </c>
      <c r="D67" s="9" t="s">
        <v>4</v>
      </c>
      <c r="E67" s="9" t="s">
        <v>18</v>
      </c>
      <c r="F67" s="9" t="s">
        <v>4</v>
      </c>
      <c r="G67" s="9" t="s">
        <v>18</v>
      </c>
      <c r="H67" s="9" t="s">
        <v>4</v>
      </c>
      <c r="I67" s="9" t="s">
        <v>18</v>
      </c>
      <c r="J67" s="9" t="s">
        <v>4</v>
      </c>
      <c r="K67" s="9" t="s">
        <v>18</v>
      </c>
      <c r="L67" s="9" t="s">
        <v>4</v>
      </c>
      <c r="M67" s="9" t="s">
        <v>18</v>
      </c>
      <c r="N67" s="9" t="s">
        <v>5</v>
      </c>
      <c r="O67" s="9" t="s">
        <v>5</v>
      </c>
      <c r="P67" s="16"/>
      <c r="Q67" s="10" t="s">
        <v>5</v>
      </c>
    </row>
    <row r="68" spans="1:17" x14ac:dyDescent="0.25">
      <c r="A68" s="19" t="s">
        <v>159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Q68" s="29"/>
    </row>
    <row r="69" spans="1:17" ht="15" x14ac:dyDescent="0.25">
      <c r="A69" s="38" t="s">
        <v>160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Q69" s="29"/>
    </row>
    <row r="70" spans="1:17" x14ac:dyDescent="0.25">
      <c r="A70" s="22" t="s">
        <v>161</v>
      </c>
      <c r="B70">
        <v>19</v>
      </c>
      <c r="C70">
        <v>33</v>
      </c>
      <c r="D70">
        <v>31</v>
      </c>
      <c r="E70">
        <v>51</v>
      </c>
      <c r="F70">
        <v>17</v>
      </c>
      <c r="G70">
        <v>11</v>
      </c>
      <c r="H70">
        <v>11</v>
      </c>
      <c r="I70">
        <v>9</v>
      </c>
      <c r="J70">
        <v>5</v>
      </c>
      <c r="K70">
        <v>1</v>
      </c>
      <c r="L70">
        <v>3</v>
      </c>
      <c r="M70">
        <v>3</v>
      </c>
      <c r="N70">
        <f t="shared" ref="N70:N72" si="24">SUM(B70, D70, F70, H70, J70, L70)</f>
        <v>86</v>
      </c>
      <c r="O70">
        <f t="shared" ref="O70:O72" si="25">SUM(C70, E70, G70, I70, K70, M70)</f>
        <v>108</v>
      </c>
      <c r="Q70" s="28">
        <f t="shared" ref="Q70:Q72" si="26">SUM(N70, O70)</f>
        <v>194</v>
      </c>
    </row>
    <row r="71" spans="1:17" x14ac:dyDescent="0.25">
      <c r="A71" s="22" t="s">
        <v>162</v>
      </c>
      <c r="B71">
        <v>19</v>
      </c>
      <c r="C71">
        <v>24</v>
      </c>
      <c r="D71">
        <v>32</v>
      </c>
      <c r="E71">
        <v>32</v>
      </c>
      <c r="F71">
        <v>20</v>
      </c>
      <c r="G71">
        <v>9</v>
      </c>
      <c r="H71">
        <v>16</v>
      </c>
      <c r="I71">
        <v>4</v>
      </c>
      <c r="J71">
        <v>3</v>
      </c>
      <c r="K71">
        <v>3</v>
      </c>
      <c r="L71">
        <v>4</v>
      </c>
      <c r="M71">
        <v>13</v>
      </c>
      <c r="N71">
        <f t="shared" si="24"/>
        <v>94</v>
      </c>
      <c r="O71">
        <f t="shared" si="25"/>
        <v>85</v>
      </c>
      <c r="Q71" s="28">
        <f t="shared" si="26"/>
        <v>179</v>
      </c>
    </row>
    <row r="72" spans="1:17" x14ac:dyDescent="0.25">
      <c r="A72" s="22" t="s">
        <v>163</v>
      </c>
      <c r="B72">
        <v>8</v>
      </c>
      <c r="C72">
        <v>9</v>
      </c>
      <c r="D72">
        <v>15</v>
      </c>
      <c r="E72">
        <v>12</v>
      </c>
      <c r="F72">
        <v>12</v>
      </c>
      <c r="G72">
        <v>3</v>
      </c>
      <c r="H72">
        <v>5</v>
      </c>
      <c r="I72">
        <v>5</v>
      </c>
      <c r="J72">
        <v>2</v>
      </c>
      <c r="K72">
        <v>3</v>
      </c>
      <c r="L72">
        <v>2</v>
      </c>
      <c r="M72">
        <v>2</v>
      </c>
      <c r="N72">
        <f t="shared" si="24"/>
        <v>44</v>
      </c>
      <c r="O72">
        <f t="shared" si="25"/>
        <v>34</v>
      </c>
      <c r="Q72" s="28">
        <f t="shared" si="26"/>
        <v>78</v>
      </c>
    </row>
    <row r="73" spans="1:17" x14ac:dyDescent="0.25">
      <c r="A73" s="19" t="s">
        <v>63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Q73" s="29"/>
    </row>
    <row r="74" spans="1:17" x14ac:dyDescent="0.25">
      <c r="A74" s="14" t="s">
        <v>64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Q74" s="29"/>
    </row>
    <row r="75" spans="1:17" x14ac:dyDescent="0.25">
      <c r="A75" s="26" t="s">
        <v>65</v>
      </c>
      <c r="B75">
        <v>50</v>
      </c>
      <c r="C75">
        <v>69</v>
      </c>
      <c r="D75">
        <v>88</v>
      </c>
      <c r="E75">
        <v>89</v>
      </c>
      <c r="F75">
        <v>52</v>
      </c>
      <c r="G75">
        <v>26</v>
      </c>
      <c r="H75">
        <v>32</v>
      </c>
      <c r="I75">
        <v>17</v>
      </c>
      <c r="J75">
        <v>11</v>
      </c>
      <c r="K75">
        <v>9</v>
      </c>
      <c r="L75">
        <v>9</v>
      </c>
      <c r="M75">
        <v>18</v>
      </c>
      <c r="N75">
        <f>SUM(B75, D75, F75, H75, J75, L75)</f>
        <v>242</v>
      </c>
      <c r="O75">
        <f>SUM(C75, E75, G75, I75, K75, M75)</f>
        <v>228</v>
      </c>
      <c r="Q75" s="28">
        <f>SUM(N75, O75)</f>
        <v>470</v>
      </c>
    </row>
    <row r="76" spans="1:17" ht="16.5" customHeight="1" x14ac:dyDescent="0.25">
      <c r="A76" s="36" t="s">
        <v>164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Q76" s="29"/>
    </row>
    <row r="77" spans="1:17" x14ac:dyDescent="0.25">
      <c r="A77" s="17" t="s">
        <v>165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Q77" s="29"/>
    </row>
    <row r="78" spans="1:17" x14ac:dyDescent="0.25">
      <c r="A78" s="26" t="s">
        <v>166</v>
      </c>
      <c r="B78">
        <v>42</v>
      </c>
      <c r="C78">
        <v>63</v>
      </c>
      <c r="D78">
        <v>82</v>
      </c>
      <c r="E78">
        <v>83</v>
      </c>
      <c r="F78">
        <v>46</v>
      </c>
      <c r="G78">
        <v>19</v>
      </c>
      <c r="H78">
        <v>29</v>
      </c>
      <c r="I78">
        <v>16</v>
      </c>
      <c r="J78">
        <v>11</v>
      </c>
      <c r="K78">
        <v>7</v>
      </c>
      <c r="L78">
        <v>9</v>
      </c>
      <c r="M78">
        <v>18</v>
      </c>
      <c r="N78">
        <f>SUM(B78, D78, F78, H78, J78, L78)</f>
        <v>219</v>
      </c>
      <c r="O78">
        <f>SUM(C78, E78, G78, I78, K78, M78)</f>
        <v>206</v>
      </c>
      <c r="Q78" s="28">
        <f>SUM(N78, O78)</f>
        <v>425</v>
      </c>
    </row>
    <row r="79" spans="1:17" ht="16.5" customHeight="1" x14ac:dyDescent="0.25">
      <c r="A79" s="36" t="s">
        <v>167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Q79" s="29"/>
    </row>
    <row r="80" spans="1:17" x14ac:dyDescent="0.25">
      <c r="A80" s="17" t="s">
        <v>168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Q80" s="29"/>
    </row>
    <row r="81" spans="1:17" x14ac:dyDescent="0.25">
      <c r="A81" s="26" t="s">
        <v>169</v>
      </c>
      <c r="B81">
        <v>42</v>
      </c>
      <c r="C81">
        <v>64</v>
      </c>
      <c r="D81">
        <v>80</v>
      </c>
      <c r="E81">
        <v>85</v>
      </c>
      <c r="F81">
        <v>47</v>
      </c>
      <c r="G81">
        <v>20</v>
      </c>
      <c r="H81">
        <v>28</v>
      </c>
      <c r="I81">
        <v>14</v>
      </c>
      <c r="J81">
        <v>11</v>
      </c>
      <c r="K81">
        <v>7</v>
      </c>
      <c r="L81">
        <v>9</v>
      </c>
      <c r="M81">
        <v>18</v>
      </c>
      <c r="N81">
        <f>SUM(B81, D81, F81, H81, J81, L81)</f>
        <v>217</v>
      </c>
      <c r="O81">
        <f>SUM(C81, E81, G81, I81, K81, M81)</f>
        <v>208</v>
      </c>
      <c r="Q81" s="28">
        <f>SUM(N81, O81)</f>
        <v>425</v>
      </c>
    </row>
    <row r="82" spans="1:17" x14ac:dyDescent="0.25">
      <c r="A82" s="19" t="s">
        <v>66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Q82" s="29"/>
    </row>
    <row r="83" spans="1:17" x14ac:dyDescent="0.25">
      <c r="A83" s="14" t="s">
        <v>67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Q83" s="29"/>
    </row>
    <row r="84" spans="1:17" x14ac:dyDescent="0.25">
      <c r="A84" s="22" t="s">
        <v>170</v>
      </c>
      <c r="B84">
        <v>38</v>
      </c>
      <c r="C84">
        <v>52</v>
      </c>
      <c r="D84">
        <v>69</v>
      </c>
      <c r="E84">
        <v>73</v>
      </c>
      <c r="F84">
        <v>31</v>
      </c>
      <c r="G84">
        <v>13</v>
      </c>
      <c r="H84">
        <v>23</v>
      </c>
      <c r="I84">
        <v>11</v>
      </c>
      <c r="J84">
        <v>5</v>
      </c>
      <c r="K84">
        <v>6</v>
      </c>
      <c r="L84">
        <v>4</v>
      </c>
      <c r="M84">
        <v>15</v>
      </c>
      <c r="N84">
        <f t="shared" ref="N84:N85" si="27">SUM(B84, D84, F84, H84, J84, L84)</f>
        <v>170</v>
      </c>
      <c r="O84">
        <f t="shared" ref="O84:O85" si="28">SUM(C84, E84, G84, I84, K84, M84)</f>
        <v>170</v>
      </c>
      <c r="Q84" s="28">
        <f t="shared" ref="Q84:Q85" si="29">SUM(N84, O84)</f>
        <v>340</v>
      </c>
    </row>
    <row r="85" spans="1:17" x14ac:dyDescent="0.25">
      <c r="A85" s="22" t="s">
        <v>171</v>
      </c>
      <c r="B85">
        <v>28</v>
      </c>
      <c r="C85">
        <v>30</v>
      </c>
      <c r="D85">
        <v>30</v>
      </c>
      <c r="E85">
        <v>51</v>
      </c>
      <c r="F85">
        <v>30</v>
      </c>
      <c r="G85">
        <v>19</v>
      </c>
      <c r="H85">
        <v>11</v>
      </c>
      <c r="I85">
        <v>8</v>
      </c>
      <c r="J85">
        <v>7</v>
      </c>
      <c r="K85">
        <v>4</v>
      </c>
      <c r="L85">
        <v>7</v>
      </c>
      <c r="M85">
        <v>9</v>
      </c>
      <c r="N85">
        <f t="shared" si="27"/>
        <v>113</v>
      </c>
      <c r="O85">
        <f t="shared" si="28"/>
        <v>121</v>
      </c>
      <c r="Q85" s="28">
        <f t="shared" si="29"/>
        <v>234</v>
      </c>
    </row>
    <row r="86" spans="1:17" x14ac:dyDescent="0.25">
      <c r="A86" s="34" t="s">
        <v>137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Q86" s="29"/>
    </row>
    <row r="87" spans="1:17" x14ac:dyDescent="0.25">
      <c r="A87" s="19" t="s">
        <v>68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Q87" s="29"/>
    </row>
    <row r="88" spans="1:17" x14ac:dyDescent="0.25">
      <c r="A88" s="14" t="s">
        <v>69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Q88" s="29"/>
    </row>
    <row r="89" spans="1:17" x14ac:dyDescent="0.25">
      <c r="A89" s="12" t="s">
        <v>70</v>
      </c>
      <c r="B89">
        <v>53</v>
      </c>
      <c r="C89">
        <v>73</v>
      </c>
      <c r="D89">
        <v>91</v>
      </c>
      <c r="E89">
        <v>99</v>
      </c>
      <c r="F89">
        <v>57</v>
      </c>
      <c r="G89">
        <v>29</v>
      </c>
      <c r="H89">
        <v>30</v>
      </c>
      <c r="I89">
        <v>17</v>
      </c>
      <c r="J89">
        <v>13</v>
      </c>
      <c r="K89">
        <v>9</v>
      </c>
      <c r="L89">
        <v>9</v>
      </c>
      <c r="M89">
        <v>21</v>
      </c>
      <c r="N89">
        <f>SUM(B89, D89, F89, H89, J89, L89)</f>
        <v>253</v>
      </c>
      <c r="O89">
        <f>SUM(C89, E89, G89, I89, K89, M89)</f>
        <v>248</v>
      </c>
      <c r="Q89" s="28">
        <f>SUM(N89, O89)</f>
        <v>501</v>
      </c>
    </row>
    <row r="90" spans="1:17" x14ac:dyDescent="0.25">
      <c r="A90" s="19" t="s">
        <v>71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Q90" s="29"/>
    </row>
    <row r="91" spans="1:17" x14ac:dyDescent="0.25">
      <c r="A91" s="17" t="s">
        <v>72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Q91" s="29"/>
    </row>
    <row r="92" spans="1:17" x14ac:dyDescent="0.25">
      <c r="A92" s="12" t="s">
        <v>73</v>
      </c>
      <c r="B92">
        <v>58</v>
      </c>
      <c r="C92">
        <v>75</v>
      </c>
      <c r="D92">
        <v>96</v>
      </c>
      <c r="E92">
        <v>109</v>
      </c>
      <c r="F92">
        <v>57</v>
      </c>
      <c r="G92">
        <v>27</v>
      </c>
      <c r="H92">
        <v>32</v>
      </c>
      <c r="I92">
        <v>15</v>
      </c>
      <c r="J92">
        <v>13</v>
      </c>
      <c r="K92">
        <v>11</v>
      </c>
      <c r="L92">
        <v>11</v>
      </c>
      <c r="M92">
        <v>18</v>
      </c>
      <c r="N92">
        <f>SUM(B92, D92, F92, H92, J92, L92)</f>
        <v>267</v>
      </c>
      <c r="O92">
        <f>SUM(C92, E92, G92, I92, K92, M92)</f>
        <v>255</v>
      </c>
      <c r="Q92" s="28">
        <f>SUM(N92, O92)</f>
        <v>522</v>
      </c>
    </row>
    <row r="93" spans="1:17" x14ac:dyDescent="0.25">
      <c r="A93" s="19" t="s">
        <v>74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Q93" s="29"/>
    </row>
    <row r="94" spans="1:17" x14ac:dyDescent="0.25">
      <c r="A94" s="14" t="s">
        <v>75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Q94" s="29"/>
    </row>
    <row r="95" spans="1:17" x14ac:dyDescent="0.25">
      <c r="A95" s="22" t="s">
        <v>76</v>
      </c>
      <c r="B95">
        <v>58</v>
      </c>
      <c r="C95">
        <v>76</v>
      </c>
      <c r="D95">
        <v>96</v>
      </c>
      <c r="E95">
        <v>111</v>
      </c>
      <c r="F95">
        <v>58</v>
      </c>
      <c r="G95">
        <v>28</v>
      </c>
      <c r="H95">
        <v>34</v>
      </c>
      <c r="I95">
        <v>17</v>
      </c>
      <c r="J95">
        <v>12</v>
      </c>
      <c r="K95">
        <v>11</v>
      </c>
      <c r="L95">
        <v>11</v>
      </c>
      <c r="M95">
        <v>21</v>
      </c>
      <c r="N95">
        <f>SUM(B95, D95, F95, H95, J95, L95)</f>
        <v>269</v>
      </c>
      <c r="O95">
        <f>SUM(C95, E95, G95, I95, K95, M95)</f>
        <v>264</v>
      </c>
      <c r="Q95" s="28">
        <f>SUM(N95, O95)</f>
        <v>533</v>
      </c>
    </row>
    <row r="96" spans="1:17" x14ac:dyDescent="0.25">
      <c r="A96" s="4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Q96" s="29"/>
    </row>
    <row r="97" spans="1:17" x14ac:dyDescent="0.25">
      <c r="A97" s="4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Q97" s="29"/>
    </row>
    <row r="98" spans="1:17" x14ac:dyDescent="0.25">
      <c r="A98" s="4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Q98" s="29"/>
    </row>
    <row r="99" spans="1:17" x14ac:dyDescent="0.25">
      <c r="A99" s="4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Q99" s="29"/>
    </row>
    <row r="100" spans="1:17" x14ac:dyDescent="0.25">
      <c r="A100" s="1"/>
      <c r="B100" s="2" t="s">
        <v>19</v>
      </c>
      <c r="C100" s="3"/>
      <c r="D100" s="4" t="s">
        <v>20</v>
      </c>
      <c r="E100" s="4"/>
      <c r="F100" s="4" t="s">
        <v>21</v>
      </c>
      <c r="G100" s="4"/>
      <c r="H100" s="4" t="s">
        <v>22</v>
      </c>
      <c r="I100" s="4"/>
      <c r="J100" s="4" t="s">
        <v>23</v>
      </c>
      <c r="K100" s="4"/>
      <c r="L100" s="4" t="s">
        <v>24</v>
      </c>
      <c r="M100" s="4"/>
      <c r="N100" s="5" t="s">
        <v>0</v>
      </c>
      <c r="O100" s="5" t="s">
        <v>1</v>
      </c>
      <c r="P100" s="16"/>
      <c r="Q100" s="6" t="s">
        <v>2</v>
      </c>
    </row>
    <row r="101" spans="1:17" x14ac:dyDescent="0.25">
      <c r="A101" s="7" t="s">
        <v>121</v>
      </c>
      <c r="B101" s="8" t="s">
        <v>4</v>
      </c>
      <c r="C101" s="8" t="s">
        <v>18</v>
      </c>
      <c r="D101" s="9" t="s">
        <v>4</v>
      </c>
      <c r="E101" s="9" t="s">
        <v>18</v>
      </c>
      <c r="F101" s="9" t="s">
        <v>4</v>
      </c>
      <c r="G101" s="9" t="s">
        <v>18</v>
      </c>
      <c r="H101" s="9" t="s">
        <v>4</v>
      </c>
      <c r="I101" s="9" t="s">
        <v>18</v>
      </c>
      <c r="J101" s="9" t="s">
        <v>4</v>
      </c>
      <c r="K101" s="9" t="s">
        <v>18</v>
      </c>
      <c r="L101" s="9" t="s">
        <v>4</v>
      </c>
      <c r="M101" s="9" t="s">
        <v>18</v>
      </c>
      <c r="N101" s="9" t="s">
        <v>5</v>
      </c>
      <c r="O101" s="9" t="s">
        <v>5</v>
      </c>
      <c r="P101" s="16"/>
      <c r="Q101" s="10" t="s">
        <v>5</v>
      </c>
    </row>
    <row r="102" spans="1:17" x14ac:dyDescent="0.25">
      <c r="A102" s="19" t="s">
        <v>77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Q102" s="29"/>
    </row>
    <row r="103" spans="1:17" x14ac:dyDescent="0.25">
      <c r="A103" s="17" t="s">
        <v>78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Q103" s="29"/>
    </row>
    <row r="104" spans="1:17" x14ac:dyDescent="0.25">
      <c r="A104" s="12" t="s">
        <v>172</v>
      </c>
      <c r="B104" s="13"/>
      <c r="C104" s="13"/>
      <c r="D104">
        <v>25</v>
      </c>
      <c r="E104">
        <v>45</v>
      </c>
      <c r="F104" s="13"/>
      <c r="G104" s="13"/>
      <c r="H104" s="13"/>
      <c r="I104" s="13"/>
      <c r="J104" s="13"/>
      <c r="K104" s="13"/>
      <c r="L104" s="13"/>
      <c r="M104" s="13"/>
      <c r="N104">
        <f t="shared" ref="N104:N106" si="30">SUM(B104, D104, F104, H104, J104, L104)</f>
        <v>25</v>
      </c>
      <c r="O104">
        <f t="shared" ref="O104:O106" si="31">SUM(C104, E104, G104, I104, K104, M104)</f>
        <v>45</v>
      </c>
      <c r="Q104" s="28">
        <f t="shared" ref="Q104:Q106" si="32">SUM(N104, O104)</f>
        <v>70</v>
      </c>
    </row>
    <row r="105" spans="1:17" x14ac:dyDescent="0.25">
      <c r="A105" s="12" t="s">
        <v>173</v>
      </c>
      <c r="B105" s="13"/>
      <c r="C105" s="13"/>
      <c r="D105">
        <v>23</v>
      </c>
      <c r="E105">
        <v>23</v>
      </c>
      <c r="F105" s="13"/>
      <c r="G105" s="13"/>
      <c r="H105" s="13"/>
      <c r="I105" s="13"/>
      <c r="J105" s="13"/>
      <c r="K105" s="13"/>
      <c r="L105" s="13"/>
      <c r="M105" s="13"/>
      <c r="N105">
        <f t="shared" si="30"/>
        <v>23</v>
      </c>
      <c r="O105">
        <f t="shared" si="31"/>
        <v>23</v>
      </c>
      <c r="Q105" s="28">
        <f t="shared" si="32"/>
        <v>46</v>
      </c>
    </row>
    <row r="106" spans="1:17" x14ac:dyDescent="0.25">
      <c r="A106" s="12" t="s">
        <v>79</v>
      </c>
      <c r="B106" s="13"/>
      <c r="C106" s="13"/>
      <c r="D106">
        <v>55</v>
      </c>
      <c r="E106">
        <v>62</v>
      </c>
      <c r="F106" s="13"/>
      <c r="G106" s="13"/>
      <c r="H106" s="13"/>
      <c r="I106" s="13"/>
      <c r="J106" s="13"/>
      <c r="K106" s="13"/>
      <c r="L106" s="13"/>
      <c r="M106" s="13"/>
      <c r="N106">
        <f t="shared" si="30"/>
        <v>55</v>
      </c>
      <c r="O106">
        <f t="shared" si="31"/>
        <v>62</v>
      </c>
      <c r="Q106" s="28">
        <f t="shared" si="32"/>
        <v>117</v>
      </c>
    </row>
    <row r="107" spans="1:17" x14ac:dyDescent="0.25">
      <c r="A107" s="19" t="s">
        <v>49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Q107" s="29"/>
    </row>
    <row r="108" spans="1:17" x14ac:dyDescent="0.25">
      <c r="A108" s="17" t="s">
        <v>50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Q108" s="29"/>
    </row>
    <row r="109" spans="1:17" x14ac:dyDescent="0.25">
      <c r="A109" s="12" t="s">
        <v>51</v>
      </c>
      <c r="B109" s="13"/>
      <c r="C109" s="13"/>
      <c r="D109" s="13"/>
      <c r="E109" s="13"/>
      <c r="F109" s="13"/>
      <c r="G109" s="13"/>
      <c r="H109" s="42">
        <v>29</v>
      </c>
      <c r="I109" s="42">
        <v>17</v>
      </c>
      <c r="J109" s="13"/>
      <c r="K109" s="13"/>
      <c r="L109" s="42">
        <v>11</v>
      </c>
      <c r="M109" s="42">
        <v>20</v>
      </c>
      <c r="N109">
        <f>SUM(B109, D109, F109, H109, J109, L109)</f>
        <v>40</v>
      </c>
      <c r="O109">
        <f>SUM(C109, E109, G109, I109, K109, M109)</f>
        <v>37</v>
      </c>
      <c r="Q109" s="28">
        <f>SUM(N109, O109)</f>
        <v>77</v>
      </c>
    </row>
    <row r="110" spans="1:17" x14ac:dyDescent="0.25">
      <c r="A110" s="19" t="s">
        <v>80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Q110" s="29"/>
    </row>
    <row r="111" spans="1:17" x14ac:dyDescent="0.25">
      <c r="A111" s="14" t="s">
        <v>81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Q111" s="29"/>
    </row>
    <row r="112" spans="1:17" x14ac:dyDescent="0.25">
      <c r="A112" s="12" t="s">
        <v>82</v>
      </c>
      <c r="B112">
        <v>57</v>
      </c>
      <c r="C112">
        <v>75</v>
      </c>
      <c r="D112">
        <v>92</v>
      </c>
      <c r="E112">
        <v>105</v>
      </c>
      <c r="F112" s="13"/>
      <c r="G112" s="13"/>
      <c r="H112" s="13"/>
      <c r="I112" s="13"/>
      <c r="J112">
        <v>12</v>
      </c>
      <c r="K112">
        <v>11</v>
      </c>
      <c r="L112" s="13"/>
      <c r="M112" s="13"/>
      <c r="N112">
        <f>SUM(B112, D112, F112, H112, J112, L112)</f>
        <v>161</v>
      </c>
      <c r="O112">
        <f>SUM(C112, E112, G112, I112, K112, M112)</f>
        <v>191</v>
      </c>
      <c r="Q112" s="28">
        <f>SUM(N112, O112)</f>
        <v>352</v>
      </c>
    </row>
    <row r="113" spans="1:17" x14ac:dyDescent="0.25">
      <c r="A113" s="19" t="s">
        <v>83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Q113" s="29"/>
    </row>
    <row r="114" spans="1:17" x14ac:dyDescent="0.25">
      <c r="A114" s="14" t="s">
        <v>84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Q114" s="29"/>
    </row>
    <row r="115" spans="1:17" x14ac:dyDescent="0.25">
      <c r="A115" s="12" t="s">
        <v>85</v>
      </c>
      <c r="B115" s="13"/>
      <c r="C115" s="13"/>
      <c r="D115" s="13"/>
      <c r="E115" s="13"/>
      <c r="F115">
        <v>54</v>
      </c>
      <c r="G115">
        <v>26</v>
      </c>
      <c r="H115">
        <v>31</v>
      </c>
      <c r="I115">
        <v>16</v>
      </c>
      <c r="J115" s="13"/>
      <c r="K115" s="13"/>
      <c r="L115">
        <v>10</v>
      </c>
      <c r="M115">
        <v>19</v>
      </c>
      <c r="N115">
        <f>SUM(B115, D115, F115, H115, J115, L115)</f>
        <v>95</v>
      </c>
      <c r="O115">
        <f>SUM(C115, E115, G115, I115, K115, M115)</f>
        <v>61</v>
      </c>
      <c r="Q115" s="28">
        <f>SUM(N115, O115)</f>
        <v>156</v>
      </c>
    </row>
    <row r="116" spans="1:17" x14ac:dyDescent="0.25">
      <c r="A116" s="20" t="s">
        <v>187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Q116" s="29"/>
    </row>
    <row r="117" spans="1:17" x14ac:dyDescent="0.25">
      <c r="A117" s="43" t="s">
        <v>123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Q117" s="29"/>
    </row>
    <row r="118" spans="1:17" x14ac:dyDescent="0.25">
      <c r="A118" s="22" t="s">
        <v>188</v>
      </c>
      <c r="B118">
        <v>52</v>
      </c>
      <c r="C118">
        <v>72</v>
      </c>
      <c r="D118">
        <v>90</v>
      </c>
      <c r="E118">
        <v>97</v>
      </c>
      <c r="F118">
        <v>56</v>
      </c>
      <c r="G118">
        <v>28</v>
      </c>
      <c r="H118">
        <v>32</v>
      </c>
      <c r="I118">
        <v>15</v>
      </c>
      <c r="J118">
        <v>12</v>
      </c>
      <c r="K118">
        <v>9</v>
      </c>
      <c r="L118">
        <v>9</v>
      </c>
      <c r="M118">
        <v>17</v>
      </c>
      <c r="N118">
        <f>SUM(B118, D118, F118, H118, J118, L118)</f>
        <v>251</v>
      </c>
      <c r="O118">
        <f>SUM(C118, E118, G118, I118, K118, M118)</f>
        <v>238</v>
      </c>
      <c r="Q118" s="28">
        <f>SUM(N118, O118)</f>
        <v>489</v>
      </c>
    </row>
    <row r="120" spans="1:17" x14ac:dyDescent="0.25">
      <c r="A120" s="1"/>
      <c r="B120" s="2" t="s">
        <v>19</v>
      </c>
      <c r="C120" s="3"/>
      <c r="D120" s="4" t="s">
        <v>20</v>
      </c>
      <c r="E120" s="4"/>
      <c r="F120" s="4" t="s">
        <v>21</v>
      </c>
      <c r="G120" s="4"/>
      <c r="H120" s="4" t="s">
        <v>22</v>
      </c>
      <c r="I120" s="4"/>
      <c r="J120" s="4" t="s">
        <v>23</v>
      </c>
      <c r="K120" s="4"/>
      <c r="L120" s="4" t="s">
        <v>24</v>
      </c>
      <c r="M120" s="4"/>
      <c r="N120" s="5" t="s">
        <v>0</v>
      </c>
      <c r="O120" s="5" t="s">
        <v>1</v>
      </c>
      <c r="P120" s="16"/>
      <c r="Q120" s="6" t="s">
        <v>2</v>
      </c>
    </row>
    <row r="121" spans="1:17" x14ac:dyDescent="0.25">
      <c r="A121" s="7" t="s">
        <v>121</v>
      </c>
      <c r="B121" s="8" t="s">
        <v>4</v>
      </c>
      <c r="C121" s="8" t="s">
        <v>18</v>
      </c>
      <c r="D121" s="9" t="s">
        <v>4</v>
      </c>
      <c r="E121" s="9" t="s">
        <v>18</v>
      </c>
      <c r="F121" s="9" t="s">
        <v>4</v>
      </c>
      <c r="G121" s="9" t="s">
        <v>18</v>
      </c>
      <c r="H121" s="9" t="s">
        <v>4</v>
      </c>
      <c r="I121" s="9" t="s">
        <v>18</v>
      </c>
      <c r="J121" s="9" t="s">
        <v>4</v>
      </c>
      <c r="K121" s="9" t="s">
        <v>18</v>
      </c>
      <c r="L121" s="9" t="s">
        <v>4</v>
      </c>
      <c r="M121" s="9" t="s">
        <v>18</v>
      </c>
      <c r="N121" s="9" t="s">
        <v>5</v>
      </c>
      <c r="O121" s="9" t="s">
        <v>5</v>
      </c>
      <c r="P121" s="16"/>
      <c r="Q121" s="10" t="s">
        <v>5</v>
      </c>
    </row>
    <row r="122" spans="1:17" x14ac:dyDescent="0.25">
      <c r="A122" s="33" t="s">
        <v>122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Q122" s="29"/>
    </row>
    <row r="123" spans="1:17" x14ac:dyDescent="0.25">
      <c r="A123" s="43" t="s">
        <v>174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Q123" s="29"/>
    </row>
    <row r="124" spans="1:17" x14ac:dyDescent="0.25">
      <c r="A124" s="22" t="s">
        <v>86</v>
      </c>
      <c r="B124">
        <v>40</v>
      </c>
      <c r="C124">
        <v>48</v>
      </c>
      <c r="D124">
        <v>68</v>
      </c>
      <c r="E124">
        <v>60</v>
      </c>
      <c r="F124">
        <v>40</v>
      </c>
      <c r="G124">
        <v>21</v>
      </c>
      <c r="H124">
        <v>20</v>
      </c>
      <c r="I124">
        <v>14</v>
      </c>
      <c r="J124">
        <v>7</v>
      </c>
      <c r="K124">
        <v>6</v>
      </c>
      <c r="L124">
        <v>9</v>
      </c>
      <c r="M124">
        <v>20</v>
      </c>
      <c r="N124">
        <f t="shared" ref="N124:N125" si="33">SUM(B124, D124, F124, H124, J124, L124)</f>
        <v>184</v>
      </c>
      <c r="O124">
        <f t="shared" ref="O124:O125" si="34">SUM(C124, E124, G124, I124, K124, M124)</f>
        <v>169</v>
      </c>
      <c r="Q124" s="28">
        <f t="shared" ref="Q124:Q125" si="35">SUM(N124, O124)</f>
        <v>353</v>
      </c>
    </row>
    <row r="125" spans="1:17" x14ac:dyDescent="0.25">
      <c r="A125" s="22" t="s">
        <v>87</v>
      </c>
      <c r="B125">
        <v>22</v>
      </c>
      <c r="C125">
        <v>27</v>
      </c>
      <c r="D125">
        <v>28</v>
      </c>
      <c r="E125">
        <v>50</v>
      </c>
      <c r="F125">
        <v>18</v>
      </c>
      <c r="G125">
        <v>7</v>
      </c>
      <c r="H125">
        <v>12</v>
      </c>
      <c r="I125">
        <v>5</v>
      </c>
      <c r="J125">
        <v>5</v>
      </c>
      <c r="K125">
        <v>6</v>
      </c>
      <c r="L125">
        <v>2</v>
      </c>
      <c r="M125">
        <v>4</v>
      </c>
      <c r="N125">
        <f t="shared" si="33"/>
        <v>87</v>
      </c>
      <c r="O125">
        <f t="shared" si="34"/>
        <v>99</v>
      </c>
      <c r="Q125" s="28">
        <f t="shared" si="35"/>
        <v>186</v>
      </c>
    </row>
    <row r="126" spans="1:17" x14ac:dyDescent="0.25">
      <c r="A126" s="43" t="s">
        <v>184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Q126" s="29"/>
    </row>
    <row r="127" spans="1:17" x14ac:dyDescent="0.25">
      <c r="A127" s="22" t="s">
        <v>86</v>
      </c>
      <c r="B127">
        <v>61</v>
      </c>
      <c r="C127">
        <v>74</v>
      </c>
      <c r="D127">
        <v>87</v>
      </c>
      <c r="E127">
        <v>99</v>
      </c>
      <c r="F127">
        <v>58</v>
      </c>
      <c r="G127">
        <v>29</v>
      </c>
      <c r="H127">
        <v>30</v>
      </c>
      <c r="I127">
        <v>17</v>
      </c>
      <c r="J127">
        <v>11</v>
      </c>
      <c r="K127">
        <v>9</v>
      </c>
      <c r="L127">
        <v>10</v>
      </c>
      <c r="M127">
        <v>23</v>
      </c>
      <c r="N127">
        <f t="shared" ref="N127:N128" si="36">SUM(B127, D127, F127, H127, J127, L127)</f>
        <v>257</v>
      </c>
      <c r="O127">
        <f t="shared" ref="O127:O128" si="37">SUM(C127, E127, G127, I127, K127, M127)</f>
        <v>251</v>
      </c>
      <c r="Q127" s="28">
        <f t="shared" ref="Q127:Q131" si="38">SUM(N127, O127)</f>
        <v>508</v>
      </c>
    </row>
    <row r="128" spans="1:17" x14ac:dyDescent="0.25">
      <c r="A128" s="22" t="s">
        <v>87</v>
      </c>
      <c r="B128">
        <v>2</v>
      </c>
      <c r="C128">
        <v>4</v>
      </c>
      <c r="D128">
        <v>11</v>
      </c>
      <c r="E128">
        <v>14</v>
      </c>
      <c r="F128">
        <v>1</v>
      </c>
      <c r="G128">
        <v>1</v>
      </c>
      <c r="H128">
        <v>4</v>
      </c>
      <c r="I128">
        <v>2</v>
      </c>
      <c r="J128">
        <v>1</v>
      </c>
      <c r="K128">
        <v>3</v>
      </c>
      <c r="L128">
        <v>2</v>
      </c>
      <c r="M128">
        <v>2</v>
      </c>
      <c r="N128">
        <f t="shared" si="36"/>
        <v>21</v>
      </c>
      <c r="O128">
        <f t="shared" si="37"/>
        <v>26</v>
      </c>
      <c r="Q128" s="28">
        <f t="shared" si="38"/>
        <v>47</v>
      </c>
    </row>
    <row r="129" spans="1:17" x14ac:dyDescent="0.25">
      <c r="A129" s="21" t="s">
        <v>175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Q129" s="29"/>
    </row>
    <row r="130" spans="1:17" x14ac:dyDescent="0.25">
      <c r="A130" s="22" t="s">
        <v>86</v>
      </c>
      <c r="B130">
        <v>54</v>
      </c>
      <c r="C130">
        <v>67</v>
      </c>
      <c r="D130">
        <v>80</v>
      </c>
      <c r="E130">
        <v>92</v>
      </c>
      <c r="F130">
        <v>54</v>
      </c>
      <c r="G130">
        <v>27</v>
      </c>
      <c r="H130">
        <v>30</v>
      </c>
      <c r="I130">
        <v>15</v>
      </c>
      <c r="J130">
        <v>11</v>
      </c>
      <c r="K130">
        <v>8</v>
      </c>
      <c r="L130">
        <v>9</v>
      </c>
      <c r="M130">
        <v>14</v>
      </c>
      <c r="N130">
        <f t="shared" ref="N130:N131" si="39">SUM(B130, D130, F130, H130, J130, L130)</f>
        <v>238</v>
      </c>
      <c r="O130">
        <f t="shared" ref="O130:O131" si="40">SUM(C130, E130, G130, I130, K130, M130)</f>
        <v>223</v>
      </c>
      <c r="Q130" s="28">
        <f t="shared" si="38"/>
        <v>461</v>
      </c>
    </row>
    <row r="131" spans="1:17" x14ac:dyDescent="0.25">
      <c r="A131" s="22" t="s">
        <v>87</v>
      </c>
      <c r="B131">
        <v>9</v>
      </c>
      <c r="C131">
        <v>8</v>
      </c>
      <c r="D131">
        <v>14</v>
      </c>
      <c r="E131">
        <v>17</v>
      </c>
      <c r="F131">
        <v>5</v>
      </c>
      <c r="G131">
        <v>3</v>
      </c>
      <c r="H131">
        <v>4</v>
      </c>
      <c r="I131">
        <v>5</v>
      </c>
      <c r="J131">
        <v>2</v>
      </c>
      <c r="K131">
        <v>3</v>
      </c>
      <c r="L131">
        <v>2</v>
      </c>
      <c r="M131">
        <v>9</v>
      </c>
      <c r="N131">
        <f t="shared" si="39"/>
        <v>36</v>
      </c>
      <c r="O131">
        <f t="shared" si="40"/>
        <v>45</v>
      </c>
      <c r="Q131" s="28">
        <f t="shared" si="38"/>
        <v>81</v>
      </c>
    </row>
    <row r="132" spans="1:17" x14ac:dyDescent="0.25">
      <c r="A132" s="4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Q132" s="29"/>
    </row>
    <row r="133" spans="1:17" x14ac:dyDescent="0.25">
      <c r="A133" s="4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Q133" s="29"/>
    </row>
    <row r="134" spans="1:17" x14ac:dyDescent="0.25">
      <c r="A134" s="43" t="s">
        <v>176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Q134" s="29"/>
    </row>
    <row r="135" spans="1:17" x14ac:dyDescent="0.25">
      <c r="A135" s="22" t="s">
        <v>86</v>
      </c>
      <c r="B135">
        <v>51</v>
      </c>
      <c r="C135">
        <v>69</v>
      </c>
      <c r="D135">
        <v>84</v>
      </c>
      <c r="E135">
        <v>102</v>
      </c>
      <c r="F135">
        <v>50</v>
      </c>
      <c r="G135">
        <v>30</v>
      </c>
      <c r="H135">
        <v>32</v>
      </c>
      <c r="I135">
        <v>20</v>
      </c>
      <c r="J135">
        <v>9</v>
      </c>
      <c r="K135">
        <v>9</v>
      </c>
      <c r="L135">
        <v>10</v>
      </c>
      <c r="M135">
        <v>21</v>
      </c>
      <c r="N135">
        <f t="shared" ref="N135:N136" si="41">SUM(B135, D135, F135, H135, J135, L135)</f>
        <v>236</v>
      </c>
      <c r="O135">
        <f t="shared" ref="O135:O136" si="42">SUM(C135, E135, G135, I135, K135, M135)</f>
        <v>251</v>
      </c>
      <c r="Q135" s="28">
        <f t="shared" ref="Q135:Q136" si="43">SUM(N135, O135)</f>
        <v>487</v>
      </c>
    </row>
    <row r="136" spans="1:17" x14ac:dyDescent="0.25">
      <c r="A136" s="22" t="s">
        <v>87</v>
      </c>
      <c r="B136">
        <v>8</v>
      </c>
      <c r="C136">
        <v>7</v>
      </c>
      <c r="D136">
        <v>8</v>
      </c>
      <c r="E136">
        <v>11</v>
      </c>
      <c r="F136">
        <v>8</v>
      </c>
      <c r="G136">
        <v>1</v>
      </c>
      <c r="H136">
        <v>0</v>
      </c>
      <c r="I136">
        <v>0</v>
      </c>
      <c r="J136">
        <v>4</v>
      </c>
      <c r="K136">
        <v>3</v>
      </c>
      <c r="L136">
        <v>2</v>
      </c>
      <c r="M136">
        <v>1</v>
      </c>
      <c r="N136">
        <f t="shared" si="41"/>
        <v>30</v>
      </c>
      <c r="O136">
        <f t="shared" si="42"/>
        <v>23</v>
      </c>
      <c r="Q136" s="28">
        <f t="shared" si="43"/>
        <v>53</v>
      </c>
    </row>
    <row r="137" spans="1:17" x14ac:dyDescent="0.25">
      <c r="A137" s="44" t="s">
        <v>177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Q137" s="29"/>
    </row>
    <row r="138" spans="1:17" x14ac:dyDescent="0.25">
      <c r="A138" s="12" t="s">
        <v>86</v>
      </c>
      <c r="B138">
        <v>39</v>
      </c>
      <c r="C138">
        <v>52</v>
      </c>
      <c r="D138">
        <v>70</v>
      </c>
      <c r="E138">
        <v>89</v>
      </c>
      <c r="F138">
        <v>42</v>
      </c>
      <c r="G138">
        <v>24</v>
      </c>
      <c r="H138">
        <v>29</v>
      </c>
      <c r="I138">
        <v>17</v>
      </c>
      <c r="J138">
        <v>9</v>
      </c>
      <c r="K138">
        <v>3</v>
      </c>
      <c r="L138">
        <v>7</v>
      </c>
      <c r="M138">
        <v>14</v>
      </c>
      <c r="N138">
        <f t="shared" ref="N138:N139" si="44">SUM(B138, D138, F138, H138, J138, L138)</f>
        <v>196</v>
      </c>
      <c r="O138">
        <f t="shared" ref="O138:O139" si="45">SUM(C138, E138, G138, I138, K138, M138)</f>
        <v>199</v>
      </c>
      <c r="Q138" s="28">
        <f t="shared" ref="Q138:Q139" si="46">SUM(N138, O138)</f>
        <v>395</v>
      </c>
    </row>
    <row r="139" spans="1:17" x14ac:dyDescent="0.25">
      <c r="A139" s="22" t="s">
        <v>87</v>
      </c>
      <c r="B139">
        <v>22</v>
      </c>
      <c r="C139">
        <v>28</v>
      </c>
      <c r="D139">
        <v>22</v>
      </c>
      <c r="E139">
        <v>27</v>
      </c>
      <c r="F139">
        <v>14</v>
      </c>
      <c r="G139">
        <v>7</v>
      </c>
      <c r="H139">
        <v>5</v>
      </c>
      <c r="I139">
        <v>4</v>
      </c>
      <c r="J139">
        <v>4</v>
      </c>
      <c r="K139">
        <v>9</v>
      </c>
      <c r="L139">
        <v>4</v>
      </c>
      <c r="M139">
        <v>8</v>
      </c>
      <c r="N139">
        <f t="shared" si="44"/>
        <v>71</v>
      </c>
      <c r="O139">
        <f t="shared" si="45"/>
        <v>83</v>
      </c>
      <c r="Q139" s="28">
        <f t="shared" si="46"/>
        <v>154</v>
      </c>
    </row>
    <row r="140" spans="1:17" x14ac:dyDescent="0.25">
      <c r="A140" s="14" t="s">
        <v>178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Q140" s="29"/>
    </row>
    <row r="141" spans="1:17" x14ac:dyDescent="0.25">
      <c r="A141" s="22" t="s">
        <v>86</v>
      </c>
      <c r="B141">
        <v>61</v>
      </c>
      <c r="C141">
        <v>73</v>
      </c>
      <c r="D141">
        <v>92</v>
      </c>
      <c r="E141">
        <v>114</v>
      </c>
      <c r="F141">
        <v>57</v>
      </c>
      <c r="G141">
        <v>32</v>
      </c>
      <c r="H141">
        <v>34</v>
      </c>
      <c r="I141">
        <v>20</v>
      </c>
      <c r="J141">
        <v>12</v>
      </c>
      <c r="K141">
        <v>9</v>
      </c>
      <c r="L141">
        <v>11</v>
      </c>
      <c r="M141">
        <v>22</v>
      </c>
      <c r="N141">
        <f t="shared" ref="N141:N142" si="47">SUM(B141, D141, F141, H141, J141, L141)</f>
        <v>267</v>
      </c>
      <c r="O141">
        <f t="shared" ref="O141:O142" si="48">SUM(C141, E141, G141, I141, K141, M141)</f>
        <v>270</v>
      </c>
      <c r="Q141" s="28">
        <f t="shared" ref="Q141:Q142" si="49">SUM(N141, O141)</f>
        <v>537</v>
      </c>
    </row>
    <row r="142" spans="1:17" x14ac:dyDescent="0.25">
      <c r="A142" s="22" t="s">
        <v>87</v>
      </c>
      <c r="B142">
        <v>0</v>
      </c>
      <c r="C142">
        <v>3</v>
      </c>
      <c r="D142">
        <v>3</v>
      </c>
      <c r="E142">
        <v>6</v>
      </c>
      <c r="F142">
        <v>2</v>
      </c>
      <c r="G142">
        <v>0</v>
      </c>
      <c r="H142">
        <v>0</v>
      </c>
      <c r="I142">
        <v>0</v>
      </c>
      <c r="J142">
        <v>1</v>
      </c>
      <c r="K142">
        <v>3</v>
      </c>
      <c r="L142">
        <v>0</v>
      </c>
      <c r="M142">
        <v>1</v>
      </c>
      <c r="N142">
        <f t="shared" si="47"/>
        <v>6</v>
      </c>
      <c r="O142">
        <f t="shared" si="48"/>
        <v>13</v>
      </c>
      <c r="Q142" s="28">
        <f t="shared" si="49"/>
        <v>19</v>
      </c>
    </row>
    <row r="143" spans="1:17" x14ac:dyDescent="0.25">
      <c r="A143" s="43" t="s">
        <v>179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Q143" s="29"/>
    </row>
    <row r="144" spans="1:17" x14ac:dyDescent="0.25">
      <c r="A144" s="22" t="s">
        <v>86</v>
      </c>
      <c r="B144">
        <v>47</v>
      </c>
      <c r="C144">
        <v>55</v>
      </c>
      <c r="D144">
        <v>66</v>
      </c>
      <c r="E144">
        <v>87</v>
      </c>
      <c r="F144">
        <v>39</v>
      </c>
      <c r="G144">
        <v>24</v>
      </c>
      <c r="H144">
        <v>30</v>
      </c>
      <c r="I144">
        <v>16</v>
      </c>
      <c r="J144">
        <v>8</v>
      </c>
      <c r="K144">
        <v>7</v>
      </c>
      <c r="L144">
        <v>6</v>
      </c>
      <c r="M144">
        <v>15</v>
      </c>
      <c r="N144">
        <f t="shared" ref="N144:N148" si="50">SUM(B144, D144, F144, H144, J144, L144)</f>
        <v>196</v>
      </c>
      <c r="O144">
        <f t="shared" ref="O144:O145" si="51">SUM(C144, E144, G144, I144, K144, M144)</f>
        <v>204</v>
      </c>
      <c r="Q144" s="28">
        <f t="shared" ref="Q144:Q145" si="52">SUM(N144, O144)</f>
        <v>400</v>
      </c>
    </row>
    <row r="145" spans="1:17" x14ac:dyDescent="0.25">
      <c r="A145" s="22" t="s">
        <v>87</v>
      </c>
      <c r="B145">
        <v>15</v>
      </c>
      <c r="C145">
        <v>19</v>
      </c>
      <c r="D145">
        <v>22</v>
      </c>
      <c r="E145">
        <v>29</v>
      </c>
      <c r="F145">
        <v>19</v>
      </c>
      <c r="G145">
        <v>7</v>
      </c>
      <c r="H145">
        <v>4</v>
      </c>
      <c r="I145">
        <v>3</v>
      </c>
      <c r="J145">
        <v>5</v>
      </c>
      <c r="K145">
        <v>5</v>
      </c>
      <c r="L145">
        <v>6</v>
      </c>
      <c r="M145">
        <v>8</v>
      </c>
      <c r="N145">
        <f t="shared" si="50"/>
        <v>71</v>
      </c>
      <c r="O145">
        <f t="shared" si="51"/>
        <v>71</v>
      </c>
      <c r="Q145" s="28">
        <f t="shared" si="52"/>
        <v>142</v>
      </c>
    </row>
    <row r="146" spans="1:17" x14ac:dyDescent="0.25">
      <c r="A146" s="43" t="s">
        <v>180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Q146" s="29"/>
    </row>
    <row r="147" spans="1:17" x14ac:dyDescent="0.25">
      <c r="A147" s="22" t="s">
        <v>86</v>
      </c>
      <c r="B147">
        <v>60</v>
      </c>
      <c r="C147">
        <v>74</v>
      </c>
      <c r="D147">
        <v>91</v>
      </c>
      <c r="E147">
        <v>113</v>
      </c>
      <c r="F147">
        <v>59</v>
      </c>
      <c r="G147">
        <v>32</v>
      </c>
      <c r="H147">
        <v>34</v>
      </c>
      <c r="I147">
        <v>20</v>
      </c>
      <c r="J147">
        <v>12</v>
      </c>
      <c r="K147">
        <v>9</v>
      </c>
      <c r="L147">
        <v>10</v>
      </c>
      <c r="M147">
        <v>23</v>
      </c>
      <c r="N147">
        <f t="shared" si="50"/>
        <v>266</v>
      </c>
      <c r="O147">
        <f t="shared" ref="O147:O148" si="53">SUM(C147, E147, G147, I147, K147, M147)</f>
        <v>271</v>
      </c>
      <c r="Q147" s="28">
        <f t="shared" ref="Q147:Q148" si="54">SUM(N147, O147)</f>
        <v>537</v>
      </c>
    </row>
    <row r="148" spans="1:17" x14ac:dyDescent="0.25">
      <c r="A148" s="22" t="s">
        <v>87</v>
      </c>
      <c r="B148">
        <v>0</v>
      </c>
      <c r="C148">
        <v>1</v>
      </c>
      <c r="D148">
        <v>2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1</v>
      </c>
      <c r="M148">
        <v>1</v>
      </c>
      <c r="N148">
        <f t="shared" si="50"/>
        <v>4</v>
      </c>
      <c r="O148">
        <f t="shared" si="53"/>
        <v>8</v>
      </c>
      <c r="Q148" s="28">
        <f t="shared" si="54"/>
        <v>12</v>
      </c>
    </row>
    <row r="149" spans="1:17" x14ac:dyDescent="0.25">
      <c r="A149" s="43" t="s">
        <v>181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Q149" s="29"/>
    </row>
    <row r="150" spans="1:17" x14ac:dyDescent="0.25">
      <c r="A150" s="22" t="s">
        <v>86</v>
      </c>
      <c r="B150">
        <v>58</v>
      </c>
      <c r="C150">
        <v>76</v>
      </c>
      <c r="D150">
        <v>83</v>
      </c>
      <c r="E150">
        <v>108</v>
      </c>
      <c r="F150">
        <v>53</v>
      </c>
      <c r="G150">
        <v>32</v>
      </c>
      <c r="H150">
        <v>33</v>
      </c>
      <c r="I150">
        <v>18</v>
      </c>
      <c r="J150">
        <v>12</v>
      </c>
      <c r="K150">
        <v>10</v>
      </c>
      <c r="L150">
        <v>9</v>
      </c>
      <c r="M150">
        <v>21</v>
      </c>
      <c r="N150">
        <f t="shared" ref="N150:N151" si="55">SUM(B150, D150, F150, H150, J150, L150)</f>
        <v>248</v>
      </c>
      <c r="O150">
        <f t="shared" ref="O150:O154" si="56">SUM(C150, E150, G150, I150, K150, M150)</f>
        <v>265</v>
      </c>
      <c r="Q150" s="28">
        <f t="shared" ref="Q150:Q151" si="57">SUM(N150, O150)</f>
        <v>513</v>
      </c>
    </row>
    <row r="151" spans="1:17" x14ac:dyDescent="0.25">
      <c r="A151" s="22" t="s">
        <v>87</v>
      </c>
      <c r="B151">
        <v>2</v>
      </c>
      <c r="C151">
        <v>3</v>
      </c>
      <c r="D151">
        <v>9</v>
      </c>
      <c r="E151">
        <v>9</v>
      </c>
      <c r="F151">
        <v>6</v>
      </c>
      <c r="G151">
        <v>0</v>
      </c>
      <c r="H151">
        <v>0</v>
      </c>
      <c r="I151">
        <v>2</v>
      </c>
      <c r="J151">
        <v>1</v>
      </c>
      <c r="K151">
        <v>2</v>
      </c>
      <c r="L151">
        <v>2</v>
      </c>
      <c r="M151">
        <v>3</v>
      </c>
      <c r="N151">
        <f t="shared" si="55"/>
        <v>20</v>
      </c>
      <c r="O151">
        <f t="shared" si="56"/>
        <v>19</v>
      </c>
      <c r="Q151" s="28">
        <f t="shared" si="57"/>
        <v>39</v>
      </c>
    </row>
    <row r="152" spans="1:17" x14ac:dyDescent="0.25">
      <c r="A152" s="43" t="s">
        <v>182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Q152" s="29"/>
    </row>
    <row r="153" spans="1:17" x14ac:dyDescent="0.25">
      <c r="A153" s="22" t="s">
        <v>86</v>
      </c>
      <c r="B153">
        <v>56</v>
      </c>
      <c r="C153">
        <v>76</v>
      </c>
      <c r="D153">
        <v>85</v>
      </c>
      <c r="E153">
        <v>107</v>
      </c>
      <c r="F153">
        <v>56</v>
      </c>
      <c r="G153">
        <v>28</v>
      </c>
      <c r="H153">
        <v>32</v>
      </c>
      <c r="I153">
        <v>19</v>
      </c>
      <c r="J153">
        <v>11</v>
      </c>
      <c r="K153">
        <v>7</v>
      </c>
      <c r="L153">
        <v>8</v>
      </c>
      <c r="M153">
        <v>16</v>
      </c>
      <c r="N153">
        <f t="shared" ref="N153:N154" si="58">SUM(B153, D153, F153, H153, J153, L153)</f>
        <v>248</v>
      </c>
      <c r="O153">
        <f t="shared" si="56"/>
        <v>253</v>
      </c>
      <c r="Q153" s="28">
        <f t="shared" ref="Q153:Q154" si="59">SUM(N153, O153)</f>
        <v>501</v>
      </c>
    </row>
    <row r="154" spans="1:17" x14ac:dyDescent="0.25">
      <c r="A154" s="22" t="s">
        <v>87</v>
      </c>
      <c r="B154">
        <v>4</v>
      </c>
      <c r="C154">
        <v>0</v>
      </c>
      <c r="D154">
        <v>6</v>
      </c>
      <c r="E154">
        <v>6</v>
      </c>
      <c r="F154">
        <v>2</v>
      </c>
      <c r="G154">
        <v>3</v>
      </c>
      <c r="H154">
        <v>1</v>
      </c>
      <c r="I154">
        <v>0</v>
      </c>
      <c r="J154">
        <v>2</v>
      </c>
      <c r="K154">
        <v>5</v>
      </c>
      <c r="L154">
        <v>2</v>
      </c>
      <c r="M154">
        <v>6</v>
      </c>
      <c r="N154">
        <f t="shared" si="58"/>
        <v>17</v>
      </c>
      <c r="O154">
        <f t="shared" si="56"/>
        <v>20</v>
      </c>
      <c r="Q154" s="28">
        <f t="shared" si="59"/>
        <v>37</v>
      </c>
    </row>
    <row r="155" spans="1:17" x14ac:dyDescent="0.25">
      <c r="A155" s="44" t="s">
        <v>183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Q155" s="29"/>
    </row>
    <row r="156" spans="1:17" x14ac:dyDescent="0.25">
      <c r="A156" s="12" t="s">
        <v>86</v>
      </c>
      <c r="B156">
        <v>53</v>
      </c>
      <c r="C156">
        <v>72</v>
      </c>
      <c r="D156">
        <v>81</v>
      </c>
      <c r="E156">
        <v>97</v>
      </c>
      <c r="F156">
        <v>48</v>
      </c>
      <c r="G156">
        <v>28</v>
      </c>
      <c r="H156">
        <v>27</v>
      </c>
      <c r="I156">
        <v>14</v>
      </c>
      <c r="J156">
        <v>12</v>
      </c>
      <c r="K156">
        <v>7</v>
      </c>
      <c r="L156">
        <v>8</v>
      </c>
      <c r="M156">
        <v>16</v>
      </c>
      <c r="N156">
        <f t="shared" ref="N156:N157" si="60">SUM(B156, D156, F156, H156, J156, L156)</f>
        <v>229</v>
      </c>
      <c r="O156">
        <f t="shared" ref="O156:O157" si="61">SUM(C156, E156, G156, I156, K156, M156)</f>
        <v>234</v>
      </c>
      <c r="Q156" s="28">
        <f t="shared" ref="Q156:Q157" si="62">SUM(N156, O156)</f>
        <v>463</v>
      </c>
    </row>
    <row r="157" spans="1:17" x14ac:dyDescent="0.25">
      <c r="A157" s="22" t="s">
        <v>87</v>
      </c>
      <c r="B157">
        <v>8</v>
      </c>
      <c r="C157">
        <v>5</v>
      </c>
      <c r="D157">
        <v>12</v>
      </c>
      <c r="E157">
        <v>20</v>
      </c>
      <c r="F157">
        <v>10</v>
      </c>
      <c r="G157">
        <v>4</v>
      </c>
      <c r="H157">
        <v>6</v>
      </c>
      <c r="I157">
        <v>5</v>
      </c>
      <c r="J157">
        <v>1</v>
      </c>
      <c r="K157">
        <v>5</v>
      </c>
      <c r="L157">
        <v>4</v>
      </c>
      <c r="M157">
        <v>7</v>
      </c>
      <c r="N157">
        <f t="shared" si="60"/>
        <v>41</v>
      </c>
      <c r="O157">
        <f t="shared" si="61"/>
        <v>46</v>
      </c>
      <c r="Q157" s="28">
        <f t="shared" si="62"/>
        <v>87</v>
      </c>
    </row>
    <row r="159" spans="1:17" x14ac:dyDescent="0.25">
      <c r="A159" s="21" t="s">
        <v>189</v>
      </c>
    </row>
    <row r="160" spans="1:17" x14ac:dyDescent="0.25">
      <c r="A160" s="21" t="s">
        <v>190</v>
      </c>
    </row>
    <row r="162" spans="1:17" x14ac:dyDescent="0.25">
      <c r="A162" s="21" t="s">
        <v>191</v>
      </c>
    </row>
    <row r="164" spans="1:17" x14ac:dyDescent="0.25">
      <c r="H164" t="s">
        <v>192</v>
      </c>
    </row>
    <row r="165" spans="1:17" x14ac:dyDescent="0.25">
      <c r="H165" t="s">
        <v>193</v>
      </c>
    </row>
    <row r="168" spans="1:17" x14ac:dyDescent="0.25">
      <c r="A168" s="18" t="s">
        <v>7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Q168" s="29"/>
    </row>
    <row r="169" spans="1:17" x14ac:dyDescent="0.25">
      <c r="A169" s="12" t="s">
        <v>8</v>
      </c>
      <c r="B169" s="13"/>
      <c r="C169">
        <v>567</v>
      </c>
      <c r="D169" s="13"/>
      <c r="E169">
        <v>720</v>
      </c>
      <c r="F169" s="13"/>
      <c r="G169">
        <v>670</v>
      </c>
      <c r="H169" s="13"/>
      <c r="I169">
        <v>519</v>
      </c>
      <c r="J169" s="13"/>
      <c r="K169">
        <v>129</v>
      </c>
      <c r="L169" s="13"/>
      <c r="M169">
        <v>86</v>
      </c>
      <c r="N169" s="13"/>
      <c r="O169">
        <f>+C169+E169+G169+I169+K169+M169</f>
        <v>2691</v>
      </c>
      <c r="Q169" s="28">
        <f>+N169+O169</f>
        <v>2691</v>
      </c>
    </row>
    <row r="170" spans="1:17" x14ac:dyDescent="0.25">
      <c r="A170" s="12" t="s">
        <v>9</v>
      </c>
    </row>
    <row r="171" spans="1:17" x14ac:dyDescent="0.25">
      <c r="A171" s="12" t="s">
        <v>10</v>
      </c>
    </row>
    <row r="172" spans="1:17" x14ac:dyDescent="0.25">
      <c r="A172" s="12" t="s">
        <v>11</v>
      </c>
    </row>
    <row r="173" spans="1:17" x14ac:dyDescent="0.25">
      <c r="A173" s="12" t="s">
        <v>12</v>
      </c>
    </row>
    <row r="174" spans="1:17" x14ac:dyDescent="0.25">
      <c r="A174" s="12" t="s">
        <v>13</v>
      </c>
    </row>
    <row r="175" spans="1:17" x14ac:dyDescent="0.25">
      <c r="A175" s="12" t="s">
        <v>14</v>
      </c>
    </row>
    <row r="176" spans="1:17" x14ac:dyDescent="0.25">
      <c r="A176" s="12" t="s">
        <v>15</v>
      </c>
    </row>
    <row r="177" spans="1:2" x14ac:dyDescent="0.25">
      <c r="A177" s="12" t="s">
        <v>16</v>
      </c>
    </row>
    <row r="178" spans="1:2" x14ac:dyDescent="0.25">
      <c r="A178" s="12" t="s">
        <v>17</v>
      </c>
      <c r="B178" s="30"/>
    </row>
  </sheetData>
  <printOptions gridLines="1"/>
  <pageMargins left="0.48" right="0.54" top="0.75" bottom="0.38" header="0.3" footer="0.13"/>
  <pageSetup orientation="landscape" r:id="rId1"/>
  <headerFooter>
    <oddHeader>&amp;L&amp;"-,Bold"Garza County, Texas
UNOFFICIAL RETURNS&amp;C&amp;"-,Bold"&amp;14 2018 Republican Party
Primary Election&amp;R&amp;"-,Bold"March 6, 2018</oddHeader>
    <oddFooter>&amp;R&amp;P of &amp;N</oddFooter>
  </headerFooter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</vt:lpstr>
      <vt:lpstr>Rep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Plummer</dc:creator>
  <cp:lastModifiedBy>Jim Plummer</cp:lastModifiedBy>
  <cp:lastPrinted>2018-03-07T03:45:10Z</cp:lastPrinted>
  <dcterms:created xsi:type="dcterms:W3CDTF">2014-03-02T21:14:58Z</dcterms:created>
  <dcterms:modified xsi:type="dcterms:W3CDTF">2018-03-07T03:53:31Z</dcterms:modified>
</cp:coreProperties>
</file>