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011"/>
  <workbookPr/>
  <mc:AlternateContent xmlns:mc="http://schemas.openxmlformats.org/markup-compatibility/2006">
    <mc:Choice Requires="x15">
      <x15ac:absPath xmlns:x15ac="http://schemas.microsoft.com/office/spreadsheetml/2010/11/ac" url="/Users/DW-admin/code/openelections-sources-tx/2018/general/"/>
    </mc:Choice>
  </mc:AlternateContent>
  <bookViews>
    <workbookView xWindow="100" yWindow="460" windowWidth="21980" windowHeight="14120"/>
  </bookViews>
  <sheets>
    <sheet name="Sheet1" sheetId="1" r:id="rId1"/>
  </sheets>
  <definedNames>
    <definedName name="_xlnm.Print_Titles" localSheetId="0">Sheet1!$1:$1</definedName>
    <definedName name="Z_013A5C40_B4B1_11D4_AB64_444553540000_.wvu.PrintTitles" localSheetId="0" hidden="1">Sheet1!$1:$1</definedName>
  </definedNames>
  <calcPr calcId="152511" concurrentCalc="0"/>
  <customWorkbookViews>
    <customWorkbookView name="BJE - Personal View" guid="{013A5C40-B4B1-11D4-AB64-444553540000}" mergeInterval="0" personalView="1" maximized="1" windowWidth="796" windowHeight="414" activeSheetId="1"/>
  </customWorkbookView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23" i="1" l="1"/>
  <c r="S123" i="1"/>
  <c r="R117" i="1"/>
  <c r="S117" i="1"/>
  <c r="K117" i="1"/>
  <c r="K116" i="1"/>
  <c r="I117" i="1"/>
  <c r="F117" i="1"/>
  <c r="F116" i="1"/>
  <c r="D97" i="1"/>
  <c r="F97" i="1"/>
  <c r="I97" i="1"/>
  <c r="K97" i="1"/>
  <c r="K96" i="1"/>
  <c r="R97" i="1"/>
  <c r="I86" i="1"/>
  <c r="D67" i="1"/>
  <c r="F67" i="1"/>
  <c r="I67" i="1"/>
  <c r="K67" i="1"/>
  <c r="R67" i="1"/>
  <c r="K66" i="1"/>
  <c r="D63" i="1"/>
  <c r="F63" i="1"/>
  <c r="I63" i="1"/>
  <c r="K63" i="1"/>
  <c r="R63" i="1"/>
  <c r="D58" i="1"/>
  <c r="F58" i="1"/>
  <c r="I58" i="1"/>
  <c r="K58" i="1"/>
  <c r="R58" i="1"/>
  <c r="R54" i="1"/>
  <c r="D54" i="1"/>
  <c r="F54" i="1"/>
  <c r="I54" i="1"/>
  <c r="K54" i="1"/>
  <c r="D50" i="1"/>
  <c r="F50" i="1"/>
  <c r="I50" i="1"/>
  <c r="K50" i="1"/>
  <c r="R50" i="1"/>
  <c r="R45" i="1"/>
  <c r="K45" i="1"/>
  <c r="I45" i="1"/>
  <c r="F45" i="1"/>
  <c r="D45" i="1"/>
  <c r="R29" i="1"/>
  <c r="R30" i="1"/>
  <c r="K29" i="1"/>
  <c r="K30" i="1"/>
  <c r="I29" i="1"/>
  <c r="I30" i="1"/>
  <c r="F29" i="1"/>
  <c r="F30" i="1"/>
  <c r="D29" i="1"/>
  <c r="D30" i="1"/>
  <c r="R24" i="1"/>
  <c r="R25" i="1"/>
  <c r="K24" i="1"/>
  <c r="K25" i="1"/>
  <c r="I24" i="1"/>
  <c r="I25" i="1"/>
  <c r="F24" i="1"/>
  <c r="F25" i="1"/>
  <c r="D24" i="1"/>
  <c r="D25" i="1"/>
  <c r="R19" i="1"/>
  <c r="K19" i="1"/>
  <c r="I19" i="1"/>
  <c r="F19" i="1"/>
  <c r="D19" i="1"/>
  <c r="K13" i="1"/>
  <c r="R10" i="1"/>
  <c r="R9" i="1"/>
  <c r="K10" i="1"/>
  <c r="K9" i="1"/>
  <c r="I10" i="1"/>
  <c r="I9" i="1"/>
  <c r="F10" i="1"/>
  <c r="F9" i="1"/>
  <c r="D10" i="1"/>
  <c r="D9" i="1"/>
  <c r="S9" i="1"/>
  <c r="R3" i="1"/>
  <c r="D3" i="1"/>
  <c r="R116" i="1"/>
  <c r="S67" i="1"/>
  <c r="S45" i="1"/>
  <c r="S58" i="1"/>
  <c r="S30" i="1"/>
  <c r="S29" i="1"/>
  <c r="S10" i="1"/>
  <c r="S97" i="1"/>
  <c r="S63" i="1"/>
  <c r="S50" i="1"/>
  <c r="S54" i="1"/>
  <c r="S25" i="1"/>
  <c r="S24" i="1"/>
  <c r="S19" i="1"/>
  <c r="S121" i="1"/>
  <c r="S104" i="1"/>
  <c r="R93" i="1"/>
  <c r="D62" i="1"/>
  <c r="R113" i="1"/>
  <c r="K113" i="1"/>
  <c r="I113" i="1"/>
  <c r="R110" i="1"/>
  <c r="F110" i="1"/>
  <c r="D110" i="1"/>
  <c r="R107" i="1"/>
  <c r="K107" i="1"/>
  <c r="F104" i="1"/>
  <c r="R104" i="1"/>
  <c r="R101" i="1"/>
  <c r="R96" i="1"/>
  <c r="K93" i="1"/>
  <c r="I93" i="1"/>
  <c r="F93" i="1"/>
  <c r="D93" i="1"/>
  <c r="R89" i="1"/>
  <c r="R86" i="1"/>
  <c r="K86" i="1"/>
  <c r="F86" i="1"/>
  <c r="D86" i="1"/>
  <c r="R79" i="1"/>
  <c r="K79" i="1"/>
  <c r="I79" i="1"/>
  <c r="F79" i="1"/>
  <c r="D79" i="1"/>
  <c r="R80" i="1"/>
  <c r="R75" i="1"/>
  <c r="K75" i="1"/>
  <c r="I75" i="1"/>
  <c r="F75" i="1"/>
  <c r="D75" i="1"/>
  <c r="R74" i="1"/>
  <c r="R71" i="1"/>
  <c r="K71" i="1"/>
  <c r="I71" i="1"/>
  <c r="F71" i="1"/>
  <c r="D71" i="1"/>
  <c r="R70" i="1"/>
  <c r="R66" i="1"/>
  <c r="R62" i="1"/>
  <c r="K62" i="1"/>
  <c r="I62" i="1"/>
  <c r="F62" i="1"/>
  <c r="R61" i="1"/>
  <c r="K61" i="1"/>
  <c r="I61" i="1"/>
  <c r="F61" i="1"/>
  <c r="D61" i="1"/>
  <c r="R57" i="1"/>
  <c r="R53" i="1"/>
  <c r="R49" i="1"/>
  <c r="R46" i="1"/>
  <c r="R44" i="1"/>
  <c r="R40" i="1"/>
  <c r="K40" i="1"/>
  <c r="I40" i="1"/>
  <c r="F40" i="1"/>
  <c r="D40" i="1"/>
  <c r="R39" i="1"/>
  <c r="K39" i="1"/>
  <c r="I39" i="1"/>
  <c r="F39" i="1"/>
  <c r="D39" i="1"/>
  <c r="R38" i="1"/>
  <c r="K38" i="1"/>
  <c r="I38" i="1"/>
  <c r="F38" i="1"/>
  <c r="D38" i="1"/>
  <c r="R35" i="1"/>
  <c r="K35" i="1"/>
  <c r="I35" i="1"/>
  <c r="F35" i="1"/>
  <c r="D35" i="1"/>
  <c r="R34" i="1"/>
  <c r="K34" i="1"/>
  <c r="I34" i="1"/>
  <c r="F34" i="1"/>
  <c r="D34" i="1"/>
  <c r="R33" i="1"/>
  <c r="K33" i="1"/>
  <c r="I33" i="1"/>
  <c r="F33" i="1"/>
  <c r="D33" i="1"/>
  <c r="R28" i="1"/>
  <c r="R20" i="1"/>
  <c r="K20" i="1"/>
  <c r="I20" i="1"/>
  <c r="F20" i="1"/>
  <c r="D20" i="1"/>
  <c r="R4" i="1"/>
  <c r="K4" i="1"/>
  <c r="I4" i="1"/>
  <c r="F4" i="1"/>
  <c r="D4" i="1"/>
  <c r="R5" i="1"/>
  <c r="K5" i="1"/>
  <c r="I5" i="1"/>
  <c r="F5" i="1"/>
  <c r="D5" i="1"/>
  <c r="K3" i="1"/>
  <c r="I3" i="1"/>
  <c r="F3" i="1"/>
  <c r="R14" i="1"/>
  <c r="D8" i="1"/>
  <c r="R23" i="1"/>
  <c r="R18" i="1"/>
  <c r="R15" i="1"/>
  <c r="R13" i="1"/>
  <c r="R8" i="1"/>
  <c r="F101" i="1"/>
  <c r="D101" i="1"/>
  <c r="I101" i="1"/>
  <c r="K101" i="1"/>
  <c r="F96" i="1"/>
  <c r="D96" i="1"/>
  <c r="I96" i="1"/>
  <c r="F89" i="1"/>
  <c r="F80" i="1"/>
  <c r="D80" i="1"/>
  <c r="I80" i="1"/>
  <c r="K80" i="1"/>
  <c r="F74" i="1"/>
  <c r="F70" i="1"/>
  <c r="D70" i="1"/>
  <c r="I70" i="1"/>
  <c r="K70" i="1"/>
  <c r="F66" i="1"/>
  <c r="F57" i="1"/>
  <c r="D57" i="1"/>
  <c r="I57" i="1"/>
  <c r="K57" i="1"/>
  <c r="F53" i="1"/>
  <c r="F49" i="1"/>
  <c r="F44" i="1"/>
  <c r="F28" i="1"/>
  <c r="F23" i="1"/>
  <c r="F18" i="1"/>
  <c r="D18" i="1"/>
  <c r="I18" i="1"/>
  <c r="K18" i="1"/>
  <c r="F8" i="1"/>
  <c r="I13" i="1"/>
  <c r="D13" i="1"/>
  <c r="K8" i="1"/>
  <c r="D46" i="1"/>
  <c r="F46" i="1"/>
  <c r="I46" i="1"/>
  <c r="K46" i="1"/>
  <c r="D15" i="1"/>
  <c r="F15" i="1"/>
  <c r="I15" i="1"/>
  <c r="K15" i="1"/>
  <c r="D14" i="1"/>
  <c r="F14" i="1"/>
  <c r="I14" i="1"/>
  <c r="K14" i="1"/>
  <c r="F13" i="1"/>
  <c r="D53" i="1"/>
  <c r="I53" i="1"/>
  <c r="K53" i="1"/>
  <c r="D66" i="1"/>
  <c r="I66" i="1"/>
  <c r="D74" i="1"/>
  <c r="I74" i="1"/>
  <c r="K74" i="1"/>
  <c r="D89" i="1"/>
  <c r="I89" i="1"/>
  <c r="K89" i="1"/>
  <c r="D23" i="1"/>
  <c r="I23" i="1"/>
  <c r="K23" i="1"/>
  <c r="D28" i="1"/>
  <c r="I28" i="1"/>
  <c r="K28" i="1"/>
  <c r="D44" i="1"/>
  <c r="I44" i="1"/>
  <c r="K44" i="1"/>
  <c r="D49" i="1"/>
  <c r="I49" i="1"/>
  <c r="K49" i="1"/>
  <c r="I8" i="1"/>
  <c r="S80" i="1"/>
  <c r="S18" i="1"/>
  <c r="S71" i="1"/>
  <c r="S75" i="1"/>
  <c r="S86" i="1"/>
  <c r="S74" i="1"/>
  <c r="S70" i="1"/>
  <c r="S66" i="1"/>
  <c r="S40" i="1"/>
  <c r="S38" i="1"/>
  <c r="S107" i="1"/>
  <c r="S8" i="1"/>
  <c r="S34" i="1"/>
  <c r="S79" i="1"/>
  <c r="S96" i="1"/>
  <c r="S113" i="1"/>
  <c r="S110" i="1"/>
  <c r="S101" i="1"/>
  <c r="S89" i="1"/>
  <c r="S93" i="1"/>
  <c r="S62" i="1"/>
  <c r="S61" i="1"/>
  <c r="S57" i="1"/>
  <c r="S53" i="1"/>
  <c r="S49" i="1"/>
  <c r="S46" i="1"/>
  <c r="S44" i="1"/>
  <c r="S39" i="1"/>
  <c r="S35" i="1"/>
  <c r="S33" i="1"/>
  <c r="S28" i="1"/>
  <c r="S23" i="1"/>
  <c r="S20" i="1"/>
  <c r="S15" i="1"/>
  <c r="S14" i="1"/>
  <c r="S13" i="1"/>
  <c r="S4" i="1"/>
  <c r="S3" i="1"/>
  <c r="S5" i="1"/>
  <c r="D116" i="1"/>
  <c r="I116" i="1"/>
  <c r="S116" i="1"/>
</calcChain>
</file>

<file path=xl/sharedStrings.xml><?xml version="1.0" encoding="utf-8"?>
<sst xmlns="http://schemas.openxmlformats.org/spreadsheetml/2006/main" count="144" uniqueCount="109">
  <si>
    <t xml:space="preserve"> </t>
  </si>
  <si>
    <t>Total
Prct 2</t>
  </si>
  <si>
    <t>Total
Prct 3</t>
  </si>
  <si>
    <t>Total
Prct 1</t>
  </si>
  <si>
    <t>Total
Prct 4</t>
  </si>
  <si>
    <t>Grand
Total</t>
  </si>
  <si>
    <t>EV
Total</t>
  </si>
  <si>
    <t>US Representative, District 13</t>
  </si>
  <si>
    <t>Governer</t>
  </si>
  <si>
    <t>Lieutenant Governer</t>
  </si>
  <si>
    <t>Attorney General</t>
  </si>
  <si>
    <t>Comptroller of Public Accounts</t>
  </si>
  <si>
    <t>Commissioner of the General Land Office</t>
  </si>
  <si>
    <t>Commissioner of Agriculture</t>
  </si>
  <si>
    <t>Railroad Commissioner</t>
  </si>
  <si>
    <t>County Treasurer</t>
  </si>
  <si>
    <t>Voter Turn-out</t>
  </si>
  <si>
    <t>Total Registered Voters</t>
  </si>
  <si>
    <t>Total Voted</t>
  </si>
  <si>
    <t>Senior Citizens
303</t>
  </si>
  <si>
    <t>State Representative, District 88</t>
  </si>
  <si>
    <t>District and County Clerk</t>
  </si>
  <si>
    <t>Provisional Ballots Counted</t>
  </si>
  <si>
    <t xml:space="preserve">  </t>
  </si>
  <si>
    <t>County Commissioner Pct. #2</t>
  </si>
  <si>
    <t>County Commissioner Pct. #4</t>
  </si>
  <si>
    <t>Justice of the Peace, Pct. 3 &amp; 4</t>
  </si>
  <si>
    <t>PCT 101</t>
  </si>
  <si>
    <t>PCT 102</t>
  </si>
  <si>
    <t>PCT 201</t>
  </si>
  <si>
    <t>PCT 301</t>
  </si>
  <si>
    <t>PCT 303</t>
  </si>
  <si>
    <t>PCT 401</t>
  </si>
  <si>
    <t>United States Senator</t>
  </si>
  <si>
    <t>Justice, Supreme Court, Place 2</t>
  </si>
  <si>
    <t>Justice, Supreme Court, Place 4</t>
  </si>
  <si>
    <t>Justice, Supreme Court, Place 6</t>
  </si>
  <si>
    <t>Presiding Judge, Court of Criminal Appeals</t>
  </si>
  <si>
    <t>Judge, Court of Criminal Appeals, Place 7</t>
  </si>
  <si>
    <t>Judge, Court of Criminal Appeals, Place 8</t>
  </si>
  <si>
    <t>State Senator, District 31</t>
  </si>
  <si>
    <t>Justice, 7th Court of Appeals District, Place 2</t>
  </si>
  <si>
    <t>Justice, 7th Court of Appeals District, Place 3</t>
  </si>
  <si>
    <t>County Judge</t>
  </si>
  <si>
    <t>Justice of the Peace, Pct. 1 &amp; 2</t>
  </si>
  <si>
    <t>Beto O'Rourke (DEM)</t>
  </si>
  <si>
    <t>Neal M. Dikeman (LIB)</t>
  </si>
  <si>
    <t>Mac Thornberry (REP)</t>
  </si>
  <si>
    <t>Greg Sagan (DEM)</t>
  </si>
  <si>
    <t>Calvin DeWeese (LIB)</t>
  </si>
  <si>
    <t>Candidates for:</t>
  </si>
  <si>
    <t>Greg Abbott (REP)</t>
  </si>
  <si>
    <t>Lupe Valdez (DEM)</t>
  </si>
  <si>
    <t>Mark Jay Tippetts (LIB)</t>
  </si>
  <si>
    <t>Dan Patrick (REP)</t>
  </si>
  <si>
    <t>Mike Collier (DEM)</t>
  </si>
  <si>
    <t>Kerry Douglas McKennon (LIB)</t>
  </si>
  <si>
    <t>Ken Paxton (REP)</t>
  </si>
  <si>
    <t>Justin Nelson (DEM)</t>
  </si>
  <si>
    <t>Michael Ray Harris (LIB)</t>
  </si>
  <si>
    <t>Glenn Hegar (REP)</t>
  </si>
  <si>
    <t>Joi Chevalier (DEM)</t>
  </si>
  <si>
    <t>Ben Sanders (LIB)</t>
  </si>
  <si>
    <t>George P. Bush (REP)</t>
  </si>
  <si>
    <t>Miguel Suazo (DEM)</t>
  </si>
  <si>
    <t>Matt Pina (LIB)</t>
  </si>
  <si>
    <t>Sid Miller (REP)</t>
  </si>
  <si>
    <t>Kim Olson (DEM)</t>
  </si>
  <si>
    <t>Richard Carpenter (LIB)</t>
  </si>
  <si>
    <t>Christi Craddick (REP)</t>
  </si>
  <si>
    <t>Roman McAllen (DEM)</t>
  </si>
  <si>
    <t>Mike Wright (LIB)</t>
  </si>
  <si>
    <t>Jimmy Blacklock (REP)</t>
  </si>
  <si>
    <t>R.K. Sandill (DEM)</t>
  </si>
  <si>
    <t>John Devine (REP)</t>
  </si>
  <si>
    <t>Steven Kirkland (DEM)</t>
  </si>
  <si>
    <t>Jeff Brown (REP)</t>
  </si>
  <si>
    <t>Kathy Cheng (DEM)</t>
  </si>
  <si>
    <t>Sharon Keller (REP)</t>
  </si>
  <si>
    <t>Maria T. (Terri) Jackson (DEM)</t>
  </si>
  <si>
    <t>William Bryan Strange lll (LIB)</t>
  </si>
  <si>
    <t>Barbara Parker Hervey (REP)</t>
  </si>
  <si>
    <t>Ramona Franklin (DEM)</t>
  </si>
  <si>
    <t>Michelle Slaughter (REP)</t>
  </si>
  <si>
    <t>Mark Ash (LIB)</t>
  </si>
  <si>
    <t>Kel Seliger (REP)</t>
  </si>
  <si>
    <t>Jack B. Westbrook (LIB)</t>
  </si>
  <si>
    <t>Ken King (REP)</t>
  </si>
  <si>
    <t>Ezekiel Barron (DEM)</t>
  </si>
  <si>
    <t>Judy Parker (REP)</t>
  </si>
  <si>
    <t>Pat Pirtle (REP)</t>
  </si>
  <si>
    <t>John C. Howard (REP)</t>
  </si>
  <si>
    <t>Robert "Bobby" Woodard (REP)</t>
  </si>
  <si>
    <t>Fay Vargas (DEM)</t>
  </si>
  <si>
    <t>Wanda Smith (REP)</t>
  </si>
  <si>
    <t>Pamela Mason (REP)</t>
  </si>
  <si>
    <t>Daniel Ford (REP)</t>
  </si>
  <si>
    <t>Pat White (REP)</t>
  </si>
  <si>
    <t>Dan Sawyer (REP)</t>
  </si>
  <si>
    <t>Provisional Ballots Cast</t>
  </si>
  <si>
    <t>Bairfield   Building 101</t>
  </si>
  <si>
    <t>Howardwick City Hall          102</t>
  </si>
  <si>
    <t>Don. Co.     Courthouse 201</t>
  </si>
  <si>
    <t>Assembly of God      301</t>
  </si>
  <si>
    <t>First Baptist 303</t>
  </si>
  <si>
    <t>Church of Christ    401</t>
  </si>
  <si>
    <t>EV Totals</t>
  </si>
  <si>
    <t>Totals</t>
  </si>
  <si>
    <t>Ted Cruz (REP)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</si>
</sst>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</font>
    <font>
      <b/>
      <sz val="10"/>
      <name val="Arial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b/>
      <i/>
      <sz val="11"/>
      <name val="Comic Sans MS"/>
      <family val="4"/>
    </font>
    <font>
      <b/>
      <i/>
      <sz val="10"/>
      <name val="Arial Black"/>
      <family val="2"/>
    </font>
    <font>
      <sz val="14"/>
      <name val="Comic Sans MS"/>
      <family val="4"/>
    </font>
    <font>
      <b/>
      <i/>
      <sz val="13"/>
      <name val="Arial"/>
      <family val="2"/>
    </font>
    <font>
      <i/>
      <sz val="12"/>
      <name val="Arial"/>
      <family val="2"/>
    </font>
    <font>
      <i/>
      <sz val="11"/>
      <name val="Arial"/>
      <family val="2"/>
    </font>
    <font>
      <i/>
      <sz val="13"/>
      <name val="Arial"/>
      <family val="2"/>
    </font>
    <font>
      <i/>
      <sz val="10"/>
      <name val="Arial"/>
      <family val="2"/>
    </font>
    <font>
      <b/>
      <sz val="10"/>
      <name val="Arial Black"/>
      <family val="2"/>
    </font>
    <font>
      <b/>
      <i/>
      <u/>
      <sz val="10"/>
      <name val="Arial"/>
      <family val="2"/>
    </font>
    <font>
      <b/>
      <sz val="11"/>
      <name val="Arial Black"/>
      <family val="2"/>
    </font>
    <font>
      <b/>
      <i/>
      <u/>
      <sz val="1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name val="Arial"/>
    </font>
    <font>
      <sz val="8"/>
      <name val="Arial Black"/>
      <family val="2"/>
    </font>
    <font>
      <b/>
      <i/>
      <sz val="8"/>
      <name val="Arial Black"/>
      <family val="2"/>
    </font>
    <font>
      <sz val="11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31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4" fillId="0" borderId="1" xfId="0" applyFont="1" applyBorder="1"/>
    <xf numFmtId="0" fontId="1" fillId="0" borderId="0" xfId="0" applyFont="1" applyBorder="1"/>
    <xf numFmtId="0" fontId="8" fillId="2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0" fillId="0" borderId="1" xfId="0" applyFill="1" applyBorder="1"/>
    <xf numFmtId="0" fontId="6" fillId="3" borderId="1" xfId="0" applyFont="1" applyFill="1" applyBorder="1" applyAlignment="1">
      <alignment horizontal="left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Border="1"/>
    <xf numFmtId="0" fontId="4" fillId="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8" fillId="0" borderId="1" xfId="0" applyNumberFormat="1" applyFont="1" applyFill="1" applyBorder="1" applyAlignment="1">
      <alignment horizontal="center"/>
    </xf>
    <xf numFmtId="0" fontId="8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4" xfId="0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8" fillId="2" borderId="2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6" fillId="0" borderId="1" xfId="0" applyFont="1" applyBorder="1"/>
    <xf numFmtId="0" fontId="1" fillId="0" borderId="1" xfId="0" applyFont="1" applyBorder="1"/>
    <xf numFmtId="0" fontId="2" fillId="3" borderId="5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4" fillId="0" borderId="1" xfId="0" applyFont="1" applyFill="1" applyBorder="1" applyAlignment="1"/>
    <xf numFmtId="0" fontId="16" fillId="4" borderId="1" xfId="0" applyFont="1" applyFill="1" applyBorder="1" applyAlignment="1">
      <alignment horizont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3" xfId="0" applyBorder="1" applyAlignment="1">
      <alignment wrapText="1"/>
    </xf>
    <xf numFmtId="0" fontId="5" fillId="0" borderId="6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5" fillId="3" borderId="1" xfId="0" applyFont="1" applyFill="1" applyBorder="1"/>
    <xf numFmtId="0" fontId="1" fillId="3" borderId="1" xfId="0" applyFont="1" applyFill="1" applyBorder="1"/>
    <xf numFmtId="0" fontId="0" fillId="6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3" fillId="0" borderId="1" xfId="0" applyFont="1" applyFill="1" applyBorder="1" applyAlignment="1">
      <alignment horizontal="center" wrapText="1"/>
    </xf>
    <xf numFmtId="0" fontId="24" fillId="0" borderId="1" xfId="0" applyFont="1" applyFill="1" applyBorder="1" applyAlignment="1">
      <alignment horizontal="center" wrapText="1"/>
    </xf>
    <xf numFmtId="0" fontId="0" fillId="3" borderId="7" xfId="0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0" fontId="0" fillId="3" borderId="0" xfId="0" applyFill="1" applyBorder="1"/>
    <xf numFmtId="0" fontId="0" fillId="0" borderId="5" xfId="0" applyBorder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hidden="1"/>
    </xf>
    <xf numFmtId="0" fontId="11" fillId="0" borderId="1" xfId="0" applyFont="1" applyFill="1" applyBorder="1" applyAlignment="1">
      <alignment horizontal="left"/>
    </xf>
    <xf numFmtId="0" fontId="11" fillId="0" borderId="1" xfId="0" applyFont="1" applyFill="1" applyBorder="1" applyAlignment="1">
      <alignment horizontal="center"/>
    </xf>
    <xf numFmtId="0" fontId="20" fillId="0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left"/>
    </xf>
    <xf numFmtId="0" fontId="11" fillId="3" borderId="2" xfId="0" applyFont="1" applyFill="1" applyBorder="1" applyAlignment="1">
      <alignment horizontal="center"/>
    </xf>
    <xf numFmtId="0" fontId="20" fillId="3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0" borderId="8" xfId="0" applyBorder="1"/>
    <xf numFmtId="0" fontId="8" fillId="2" borderId="1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left"/>
    </xf>
    <xf numFmtId="0" fontId="0" fillId="8" borderId="7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0" fillId="8" borderId="11" xfId="0" applyFill="1" applyBorder="1"/>
    <xf numFmtId="0" fontId="4" fillId="8" borderId="1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22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center"/>
    </xf>
    <xf numFmtId="0" fontId="8" fillId="8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/>
    </xf>
    <xf numFmtId="0" fontId="19" fillId="9" borderId="2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  <color rgb="FFCCFFCC"/>
      <color rgb="FF99FF99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Y124"/>
  <sheetViews>
    <sheetView tabSelected="1" workbookViewId="0">
      <selection activeCell="R113" sqref="R113"/>
    </sheetView>
  </sheetViews>
  <sheetFormatPr baseColWidth="10" defaultColWidth="8.83203125" defaultRowHeight="13" x14ac:dyDescent="0.15"/>
  <cols>
    <col min="1" max="1" width="36.5" style="3" customWidth="1"/>
    <col min="2" max="2" width="10.5" style="16" customWidth="1"/>
    <col min="3" max="3" width="12.1640625" style="16" customWidth="1"/>
    <col min="4" max="4" width="9.5" style="16" bestFit="1" customWidth="1"/>
    <col min="5" max="5" width="11" style="16" customWidth="1"/>
    <col min="6" max="6" width="8.1640625" style="69" bestFit="1" customWidth="1"/>
    <col min="7" max="7" width="11.33203125" style="23" customWidth="1"/>
    <col min="8" max="8" width="8.1640625" style="3" customWidth="1"/>
    <col min="9" max="9" width="8.1640625" style="16" bestFit="1" customWidth="1"/>
    <col min="10" max="10" width="9.33203125" style="16" customWidth="1"/>
    <col min="11" max="11" width="8.1640625" style="16" bestFit="1" customWidth="1"/>
    <col min="12" max="17" width="8.1640625" style="86" customWidth="1"/>
    <col min="18" max="18" width="11.5" style="16" customWidth="1"/>
    <col min="19" max="19" width="11.6640625" style="16" customWidth="1"/>
    <col min="20" max="16384" width="8.83203125" style="3"/>
  </cols>
  <sheetData>
    <row r="1" spans="1:222" s="5" customFormat="1" ht="46.25" customHeight="1" x14ac:dyDescent="0.25">
      <c r="A1" s="27" t="s">
        <v>50</v>
      </c>
      <c r="B1" s="165" t="s">
        <v>100</v>
      </c>
      <c r="C1" s="165" t="s">
        <v>101</v>
      </c>
      <c r="D1" s="28" t="s">
        <v>3</v>
      </c>
      <c r="E1" s="166" t="s">
        <v>102</v>
      </c>
      <c r="F1" s="57" t="s">
        <v>1</v>
      </c>
      <c r="G1" s="166" t="s">
        <v>103</v>
      </c>
      <c r="H1" s="166" t="s">
        <v>104</v>
      </c>
      <c r="I1" s="28" t="s">
        <v>2</v>
      </c>
      <c r="J1" s="167" t="s">
        <v>105</v>
      </c>
      <c r="K1" s="28" t="s">
        <v>4</v>
      </c>
      <c r="L1" s="87" t="s">
        <v>27</v>
      </c>
      <c r="M1" s="88" t="s">
        <v>28</v>
      </c>
      <c r="N1" s="88" t="s">
        <v>29</v>
      </c>
      <c r="O1" s="88" t="s">
        <v>30</v>
      </c>
      <c r="P1" s="87" t="s">
        <v>31</v>
      </c>
      <c r="Q1" s="87" t="s">
        <v>32</v>
      </c>
      <c r="R1" s="28" t="s">
        <v>6</v>
      </c>
      <c r="S1" s="29" t="s">
        <v>5</v>
      </c>
    </row>
    <row r="2" spans="1:222" ht="15.5" customHeight="1" x14ac:dyDescent="0.2">
      <c r="A2" s="98" t="s">
        <v>33</v>
      </c>
      <c r="B2" s="99"/>
      <c r="C2" s="99"/>
      <c r="D2" s="99"/>
      <c r="E2" s="99"/>
      <c r="F2" s="100"/>
      <c r="G2" s="101"/>
      <c r="H2" s="102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22" s="1" customFormat="1" ht="15.5" customHeight="1" x14ac:dyDescent="0.25">
      <c r="A3" s="1" t="s">
        <v>108</v>
      </c>
      <c r="B3" s="15">
        <v>34</v>
      </c>
      <c r="C3" s="15">
        <v>70</v>
      </c>
      <c r="D3" s="58">
        <f>SUM(B3:C3)</f>
        <v>104</v>
      </c>
      <c r="E3" s="15">
        <v>100</v>
      </c>
      <c r="F3" s="58">
        <f>SUM(E3)</f>
        <v>100</v>
      </c>
      <c r="G3" s="15">
        <v>39</v>
      </c>
      <c r="H3" s="15">
        <v>83</v>
      </c>
      <c r="I3" s="58">
        <f>SUM(G3:H3)</f>
        <v>122</v>
      </c>
      <c r="J3" s="15">
        <v>90</v>
      </c>
      <c r="K3" s="58">
        <f>SUM(J3)</f>
        <v>90</v>
      </c>
      <c r="L3" s="61">
        <v>88</v>
      </c>
      <c r="M3" s="61">
        <v>99</v>
      </c>
      <c r="N3" s="61">
        <v>242</v>
      </c>
      <c r="O3" s="61">
        <v>71</v>
      </c>
      <c r="P3" s="61">
        <v>61</v>
      </c>
      <c r="Q3" s="61">
        <v>133</v>
      </c>
      <c r="R3" s="58">
        <f>SUM(L3:Q3)</f>
        <v>694</v>
      </c>
      <c r="S3" s="117">
        <f>SUM(R3,K3,I3,F3,D3)</f>
        <v>1110</v>
      </c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</row>
    <row r="4" spans="1:222" s="1" customFormat="1" ht="15.5" customHeight="1" x14ac:dyDescent="0.25">
      <c r="A4" s="1" t="s">
        <v>45</v>
      </c>
      <c r="B4" s="15">
        <v>3</v>
      </c>
      <c r="C4" s="15">
        <v>9</v>
      </c>
      <c r="D4" s="58">
        <f>SUM(B4:C4)</f>
        <v>12</v>
      </c>
      <c r="E4" s="15">
        <v>25</v>
      </c>
      <c r="F4" s="58">
        <f>SUM(E4)</f>
        <v>25</v>
      </c>
      <c r="G4" s="15">
        <v>0</v>
      </c>
      <c r="H4" s="15">
        <v>12</v>
      </c>
      <c r="I4" s="58">
        <f>SUM(G4:H4)</f>
        <v>12</v>
      </c>
      <c r="J4" s="15">
        <v>16</v>
      </c>
      <c r="K4" s="58">
        <f>SUM(J4)</f>
        <v>16</v>
      </c>
      <c r="L4" s="61">
        <v>9</v>
      </c>
      <c r="M4" s="61">
        <v>13</v>
      </c>
      <c r="N4" s="61">
        <v>40</v>
      </c>
      <c r="O4" s="61">
        <v>2</v>
      </c>
      <c r="P4" s="61">
        <v>10</v>
      </c>
      <c r="Q4" s="61">
        <v>22</v>
      </c>
      <c r="R4" s="58">
        <f>SUM(L4:Q4)</f>
        <v>96</v>
      </c>
      <c r="S4" s="117">
        <f>SUM(R4,K4,I4,F4,D4)</f>
        <v>161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</row>
    <row r="5" spans="1:222" s="1" customFormat="1" ht="15.5" customHeight="1" x14ac:dyDescent="0.25">
      <c r="A5" s="1" t="s">
        <v>46</v>
      </c>
      <c r="B5" s="15">
        <v>0</v>
      </c>
      <c r="C5" s="15">
        <v>1</v>
      </c>
      <c r="D5" s="58">
        <f>SUM(B5:C5)</f>
        <v>1</v>
      </c>
      <c r="E5" s="15">
        <v>0</v>
      </c>
      <c r="F5" s="58">
        <f>SUM(E5)</f>
        <v>0</v>
      </c>
      <c r="G5" s="15">
        <v>0</v>
      </c>
      <c r="H5" s="15">
        <v>0</v>
      </c>
      <c r="I5" s="58">
        <f>SUM(G5:H5)</f>
        <v>0</v>
      </c>
      <c r="J5" s="15">
        <v>1</v>
      </c>
      <c r="K5" s="58">
        <f>SUM(J5)</f>
        <v>1</v>
      </c>
      <c r="L5" s="61">
        <v>0</v>
      </c>
      <c r="M5" s="61">
        <v>1</v>
      </c>
      <c r="N5" s="61">
        <v>2</v>
      </c>
      <c r="O5" s="61">
        <v>1</v>
      </c>
      <c r="P5" s="61">
        <v>0</v>
      </c>
      <c r="Q5" s="61">
        <v>2</v>
      </c>
      <c r="R5" s="58">
        <f>SUM(L5:Q5)</f>
        <v>6</v>
      </c>
      <c r="S5" s="117">
        <f>SUM(R5,K5,I5,F5,D5)</f>
        <v>8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</row>
    <row r="6" spans="1:222" s="8" customFormat="1" ht="15.5" customHeight="1" x14ac:dyDescent="0.2">
      <c r="A6" s="94"/>
      <c r="B6" s="95"/>
      <c r="C6" s="95"/>
      <c r="D6" s="95"/>
      <c r="E6" s="95"/>
      <c r="F6" s="96"/>
      <c r="G6" s="97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</row>
    <row r="7" spans="1:222" ht="15.5" customHeight="1" x14ac:dyDescent="0.2">
      <c r="A7" s="103" t="s">
        <v>7</v>
      </c>
      <c r="B7" s="104"/>
      <c r="C7" s="104"/>
      <c r="D7" s="104"/>
      <c r="E7" s="104"/>
      <c r="F7" s="105"/>
      <c r="G7" s="106"/>
      <c r="H7" s="147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</row>
    <row r="8" spans="1:222" ht="17" x14ac:dyDescent="0.25">
      <c r="A8" s="1" t="s">
        <v>47</v>
      </c>
      <c r="B8" s="15">
        <v>35</v>
      </c>
      <c r="C8" s="15">
        <v>72</v>
      </c>
      <c r="D8" s="93">
        <f>SUM(B8:C8)</f>
        <v>107</v>
      </c>
      <c r="E8" s="15">
        <v>109</v>
      </c>
      <c r="F8" s="58">
        <f>SUM(E8)</f>
        <v>109</v>
      </c>
      <c r="G8" s="22">
        <v>39</v>
      </c>
      <c r="H8" s="139">
        <v>82</v>
      </c>
      <c r="I8" s="58">
        <f>SUM(G8:H8)</f>
        <v>121</v>
      </c>
      <c r="J8" s="15">
        <v>89</v>
      </c>
      <c r="K8" s="58">
        <f>SUM(J8)</f>
        <v>89</v>
      </c>
      <c r="L8" s="59">
        <v>90</v>
      </c>
      <c r="M8" s="59">
        <v>97</v>
      </c>
      <c r="N8" s="59">
        <v>251</v>
      </c>
      <c r="O8" s="59">
        <v>70</v>
      </c>
      <c r="P8" s="59">
        <v>62</v>
      </c>
      <c r="Q8" s="59">
        <v>138</v>
      </c>
      <c r="R8" s="58">
        <f>SUM(L8,M8,N8,O8,P8,Q8)</f>
        <v>708</v>
      </c>
      <c r="S8" s="6">
        <f>SUM(D8,F8,I8,K8,R8)</f>
        <v>1134</v>
      </c>
    </row>
    <row r="9" spans="1:222" ht="17" x14ac:dyDescent="0.25">
      <c r="A9" s="1" t="s">
        <v>48</v>
      </c>
      <c r="B9" s="139">
        <v>1</v>
      </c>
      <c r="C9" s="139">
        <v>6</v>
      </c>
      <c r="D9" s="93">
        <f>SUM(B9:C9)</f>
        <v>7</v>
      </c>
      <c r="E9" s="139">
        <v>18</v>
      </c>
      <c r="F9" s="58">
        <f>SUM(E9)</f>
        <v>18</v>
      </c>
      <c r="G9" s="22">
        <v>0</v>
      </c>
      <c r="H9" s="139">
        <v>11</v>
      </c>
      <c r="I9" s="58">
        <f>SUM(G9:H9)</f>
        <v>11</v>
      </c>
      <c r="J9" s="139">
        <v>12</v>
      </c>
      <c r="K9" s="58">
        <f>SUM(J9)</f>
        <v>12</v>
      </c>
      <c r="L9" s="59">
        <v>5</v>
      </c>
      <c r="M9" s="59">
        <v>10</v>
      </c>
      <c r="N9" s="59">
        <v>25</v>
      </c>
      <c r="O9" s="59">
        <v>2</v>
      </c>
      <c r="P9" s="59">
        <v>8</v>
      </c>
      <c r="Q9" s="59">
        <v>15</v>
      </c>
      <c r="R9" s="58">
        <f>SUM(L9:Q9)</f>
        <v>65</v>
      </c>
      <c r="S9" s="6">
        <f>SUM(D9,F9,I9,K9,R9)</f>
        <v>113</v>
      </c>
    </row>
    <row r="10" spans="1:222" ht="17" x14ac:dyDescent="0.25">
      <c r="A10" s="1" t="s">
        <v>49</v>
      </c>
      <c r="B10" s="139">
        <v>1</v>
      </c>
      <c r="C10" s="139">
        <v>1</v>
      </c>
      <c r="D10" s="93">
        <f>SUM(B10:C10)</f>
        <v>2</v>
      </c>
      <c r="E10" s="139">
        <v>0</v>
      </c>
      <c r="F10" s="58">
        <f>SUM(E10)</f>
        <v>0</v>
      </c>
      <c r="G10" s="22">
        <v>0</v>
      </c>
      <c r="H10" s="139">
        <v>0</v>
      </c>
      <c r="I10" s="58">
        <f>SUM(G10:H10)</f>
        <v>0</v>
      </c>
      <c r="J10" s="139">
        <v>5</v>
      </c>
      <c r="K10" s="58">
        <f>SUM(J10)</f>
        <v>5</v>
      </c>
      <c r="L10" s="59">
        <v>2</v>
      </c>
      <c r="M10" s="59">
        <v>5</v>
      </c>
      <c r="N10" s="59">
        <v>7</v>
      </c>
      <c r="O10" s="59">
        <v>1</v>
      </c>
      <c r="P10" s="59">
        <v>0</v>
      </c>
      <c r="Q10" s="59">
        <v>5</v>
      </c>
      <c r="R10" s="58">
        <f>SUM(L10:Q10)</f>
        <v>20</v>
      </c>
      <c r="S10" s="6">
        <f>SUM(D10,F10,I10,K10,R10)</f>
        <v>27</v>
      </c>
    </row>
    <row r="11" spans="1:222" s="10" customFormat="1" ht="17" x14ac:dyDescent="0.25">
      <c r="A11" s="8"/>
      <c r="B11" s="17" t="s">
        <v>0</v>
      </c>
      <c r="C11" s="17"/>
      <c r="D11" s="59" t="s">
        <v>0</v>
      </c>
      <c r="E11" s="17"/>
      <c r="F11" s="59" t="s">
        <v>0</v>
      </c>
      <c r="G11" s="19"/>
      <c r="H11" s="146"/>
      <c r="I11" s="59" t="s">
        <v>0</v>
      </c>
      <c r="J11" s="17"/>
      <c r="K11" s="59" t="s">
        <v>0</v>
      </c>
      <c r="L11" s="59" t="s">
        <v>0</v>
      </c>
      <c r="M11" s="59"/>
      <c r="N11" s="59"/>
      <c r="O11" s="59"/>
      <c r="P11" s="59"/>
      <c r="Q11" s="59"/>
      <c r="R11" s="59" t="s">
        <v>0</v>
      </c>
      <c r="S11" s="25" t="s">
        <v>0</v>
      </c>
    </row>
    <row r="12" spans="1:222" s="10" customFormat="1" ht="18" customHeight="1" x14ac:dyDescent="0.15">
      <c r="A12" s="30" t="s">
        <v>8</v>
      </c>
      <c r="B12" s="20"/>
      <c r="C12" s="20"/>
      <c r="D12" s="20"/>
      <c r="E12" s="20"/>
      <c r="F12" s="60"/>
      <c r="G12" s="31"/>
      <c r="H12" s="144"/>
      <c r="I12" s="20"/>
      <c r="J12" s="20"/>
      <c r="K12" s="20"/>
      <c r="L12" s="60" t="s">
        <v>0</v>
      </c>
      <c r="M12" s="20"/>
      <c r="N12" s="20"/>
      <c r="O12" s="20"/>
      <c r="P12" s="20"/>
      <c r="Q12" s="20"/>
      <c r="R12" s="20"/>
      <c r="S12" s="20"/>
    </row>
    <row r="13" spans="1:222" s="10" customFormat="1" ht="17" x14ac:dyDescent="0.25">
      <c r="A13" s="4" t="s">
        <v>51</v>
      </c>
      <c r="B13" s="15">
        <v>35</v>
      </c>
      <c r="C13" s="15">
        <v>76</v>
      </c>
      <c r="D13" s="58">
        <f>SUM(B13:C13)</f>
        <v>111</v>
      </c>
      <c r="E13" s="15">
        <v>104</v>
      </c>
      <c r="F13" s="58">
        <f>SUM(E13)</f>
        <v>104</v>
      </c>
      <c r="G13" s="22">
        <v>39</v>
      </c>
      <c r="H13" s="139">
        <v>82</v>
      </c>
      <c r="I13" s="58">
        <f>SUM(G13:H13)</f>
        <v>121</v>
      </c>
      <c r="J13" s="15">
        <v>90</v>
      </c>
      <c r="K13" s="58">
        <f>SUM(J13)</f>
        <v>90</v>
      </c>
      <c r="L13" s="59">
        <v>89</v>
      </c>
      <c r="M13" s="59">
        <v>100</v>
      </c>
      <c r="N13" s="59">
        <v>252</v>
      </c>
      <c r="O13" s="59">
        <v>71</v>
      </c>
      <c r="P13" s="59">
        <v>60</v>
      </c>
      <c r="Q13" s="59">
        <v>132</v>
      </c>
      <c r="R13" s="58">
        <f>SUM(L13,M13,N13,O13,P13,Q13)</f>
        <v>704</v>
      </c>
      <c r="S13" s="6">
        <f>SUM(D13,F13,I13,K13,R13)</f>
        <v>1130</v>
      </c>
    </row>
    <row r="14" spans="1:222" s="10" customFormat="1" ht="17" x14ac:dyDescent="0.25">
      <c r="A14" s="1" t="s">
        <v>52</v>
      </c>
      <c r="B14" s="15">
        <v>1</v>
      </c>
      <c r="C14" s="15">
        <v>6</v>
      </c>
      <c r="D14" s="58">
        <f>SUM(B14:C14)</f>
        <v>7</v>
      </c>
      <c r="E14" s="15">
        <v>22</v>
      </c>
      <c r="F14" s="58">
        <f>SUM(E14)</f>
        <v>22</v>
      </c>
      <c r="G14" s="22">
        <v>0</v>
      </c>
      <c r="H14" s="133">
        <v>11</v>
      </c>
      <c r="I14" s="58">
        <f>SUM(G14:H14)</f>
        <v>11</v>
      </c>
      <c r="J14" s="15">
        <v>14</v>
      </c>
      <c r="K14" s="58">
        <f>SUM(J14)</f>
        <v>14</v>
      </c>
      <c r="L14" s="59">
        <v>7</v>
      </c>
      <c r="M14" s="59">
        <v>13</v>
      </c>
      <c r="N14" s="59">
        <v>26</v>
      </c>
      <c r="O14" s="59">
        <v>2</v>
      </c>
      <c r="P14" s="59">
        <v>12</v>
      </c>
      <c r="Q14" s="59">
        <v>20</v>
      </c>
      <c r="R14" s="58">
        <f>SUM(L14,M14,N14,O14,P14,Q14)</f>
        <v>80</v>
      </c>
      <c r="S14" s="6">
        <f>SUM(D14,F14,I14,K14,R14)</f>
        <v>134</v>
      </c>
    </row>
    <row r="15" spans="1:222" s="10" customFormat="1" ht="17" x14ac:dyDescent="0.25">
      <c r="A15" s="1" t="s">
        <v>53</v>
      </c>
      <c r="B15" s="15">
        <v>1</v>
      </c>
      <c r="C15" s="15">
        <v>1</v>
      </c>
      <c r="D15" s="58">
        <f>SUM(B15:C15)</f>
        <v>2</v>
      </c>
      <c r="E15" s="15">
        <v>1</v>
      </c>
      <c r="F15" s="58">
        <f>SUM(E15)</f>
        <v>1</v>
      </c>
      <c r="G15" s="22">
        <v>0</v>
      </c>
      <c r="H15" s="133">
        <v>1</v>
      </c>
      <c r="I15" s="58">
        <f>SUM(G15:H15)</f>
        <v>1</v>
      </c>
      <c r="J15" s="15">
        <v>2</v>
      </c>
      <c r="K15" s="58">
        <f>SUM(J15)</f>
        <v>2</v>
      </c>
      <c r="L15" s="59">
        <v>1</v>
      </c>
      <c r="M15" s="59">
        <v>1</v>
      </c>
      <c r="N15" s="59">
        <v>6</v>
      </c>
      <c r="O15" s="59">
        <v>2</v>
      </c>
      <c r="P15" s="59">
        <v>0</v>
      </c>
      <c r="Q15" s="59">
        <v>4</v>
      </c>
      <c r="R15" s="58">
        <f>SUM(L15,M15,N15,O15,P15,Q15)</f>
        <v>14</v>
      </c>
      <c r="S15" s="6">
        <f>SUM(D15,F15,I15,K15,R15)</f>
        <v>20</v>
      </c>
    </row>
    <row r="16" spans="1:222" s="10" customFormat="1" ht="17" x14ac:dyDescent="0.25">
      <c r="A16" s="1"/>
      <c r="B16" s="15"/>
      <c r="C16" s="15"/>
      <c r="D16" s="61"/>
      <c r="E16" s="15"/>
      <c r="F16" s="61"/>
      <c r="G16" s="22"/>
      <c r="H16" s="133"/>
      <c r="I16" s="61"/>
      <c r="J16" s="15"/>
      <c r="K16" s="61"/>
      <c r="L16" s="59" t="s">
        <v>0</v>
      </c>
      <c r="M16" s="59"/>
      <c r="N16" s="59"/>
      <c r="O16" s="59"/>
      <c r="P16" s="59"/>
      <c r="Q16" s="59"/>
      <c r="R16" s="61"/>
      <c r="S16" s="26"/>
    </row>
    <row r="17" spans="1:19" ht="18" customHeight="1" x14ac:dyDescent="0.2">
      <c r="A17" s="7" t="s">
        <v>9</v>
      </c>
      <c r="B17" s="32"/>
      <c r="C17" s="32"/>
      <c r="D17" s="32"/>
      <c r="E17" s="32"/>
      <c r="F17" s="62"/>
      <c r="G17" s="33"/>
      <c r="H17" s="134"/>
      <c r="I17" s="32"/>
      <c r="J17" s="32"/>
      <c r="K17" s="32"/>
      <c r="L17" s="60" t="s">
        <v>0</v>
      </c>
      <c r="M17" s="32"/>
      <c r="N17" s="32"/>
      <c r="O17" s="32"/>
      <c r="P17" s="32"/>
      <c r="Q17" s="32"/>
      <c r="R17" s="32"/>
      <c r="S17" s="32"/>
    </row>
    <row r="18" spans="1:19" ht="17" x14ac:dyDescent="0.25">
      <c r="A18" s="1" t="s">
        <v>54</v>
      </c>
      <c r="B18" s="15">
        <v>32</v>
      </c>
      <c r="C18" s="15">
        <v>75</v>
      </c>
      <c r="D18" s="58">
        <f>SUM(B18:C18)</f>
        <v>107</v>
      </c>
      <c r="E18" s="15">
        <v>85</v>
      </c>
      <c r="F18" s="58">
        <f>SUM(E18)</f>
        <v>85</v>
      </c>
      <c r="G18" s="22">
        <v>35</v>
      </c>
      <c r="H18" s="139">
        <v>71</v>
      </c>
      <c r="I18" s="58">
        <f>SUM(G18:H18)</f>
        <v>106</v>
      </c>
      <c r="J18" s="15">
        <v>87</v>
      </c>
      <c r="K18" s="58">
        <f>SUM(J18:J18)</f>
        <v>87</v>
      </c>
      <c r="L18" s="59">
        <v>83</v>
      </c>
      <c r="M18" s="59">
        <v>94</v>
      </c>
      <c r="N18" s="59">
        <v>220</v>
      </c>
      <c r="O18" s="59">
        <v>68</v>
      </c>
      <c r="P18" s="59">
        <v>57</v>
      </c>
      <c r="Q18" s="59">
        <v>130</v>
      </c>
      <c r="R18" s="58">
        <f>SUM(L18,M18,N18,O18,P18,Q18)</f>
        <v>652</v>
      </c>
      <c r="S18" s="6">
        <f>SUM(D18,F18,I18,K18,R18)</f>
        <v>1037</v>
      </c>
    </row>
    <row r="19" spans="1:19" ht="17" x14ac:dyDescent="0.25">
      <c r="A19" s="1" t="s">
        <v>55</v>
      </c>
      <c r="B19" s="139">
        <v>3</v>
      </c>
      <c r="C19" s="139">
        <v>6</v>
      </c>
      <c r="D19" s="58">
        <f>SUM(B19:C19)</f>
        <v>9</v>
      </c>
      <c r="E19" s="139">
        <v>35</v>
      </c>
      <c r="F19" s="58">
        <f>SUM(E19)</f>
        <v>35</v>
      </c>
      <c r="G19" s="22">
        <v>3</v>
      </c>
      <c r="H19" s="133">
        <v>18</v>
      </c>
      <c r="I19" s="58">
        <f>SUM(G19:H19)</f>
        <v>21</v>
      </c>
      <c r="J19" s="139">
        <v>16</v>
      </c>
      <c r="K19" s="58">
        <f>SUM(J19:J19)</f>
        <v>16</v>
      </c>
      <c r="L19" s="59">
        <v>11</v>
      </c>
      <c r="M19" s="59">
        <v>17</v>
      </c>
      <c r="N19" s="59">
        <v>46</v>
      </c>
      <c r="O19" s="59">
        <v>4</v>
      </c>
      <c r="P19" s="59">
        <v>14</v>
      </c>
      <c r="Q19" s="59">
        <v>23</v>
      </c>
      <c r="R19" s="58">
        <f>SUM(L19,M19,N19,O19,P19,Q19)</f>
        <v>115</v>
      </c>
      <c r="S19" s="6">
        <f>SUM(D19,F19,I19,K19,R19)</f>
        <v>196</v>
      </c>
    </row>
    <row r="20" spans="1:19" ht="17" x14ac:dyDescent="0.25">
      <c r="A20" s="1" t="s">
        <v>56</v>
      </c>
      <c r="B20" s="15">
        <v>2</v>
      </c>
      <c r="C20" s="15">
        <v>1</v>
      </c>
      <c r="D20" s="58">
        <f>SUM(B20:C20)</f>
        <v>3</v>
      </c>
      <c r="E20" s="15">
        <v>4</v>
      </c>
      <c r="F20" s="58">
        <f>SUM(E20)</f>
        <v>4</v>
      </c>
      <c r="G20" s="22">
        <v>0</v>
      </c>
      <c r="H20" s="77">
        <v>4</v>
      </c>
      <c r="I20" s="58">
        <f>SUM(G20:H20)</f>
        <v>4</v>
      </c>
      <c r="J20" s="15">
        <v>3</v>
      </c>
      <c r="K20" s="58">
        <f>SUM(J20)</f>
        <v>3</v>
      </c>
      <c r="L20" s="59">
        <v>2</v>
      </c>
      <c r="M20" s="59">
        <v>3</v>
      </c>
      <c r="N20" s="59">
        <v>15</v>
      </c>
      <c r="O20" s="59">
        <v>3</v>
      </c>
      <c r="P20" s="59">
        <v>0</v>
      </c>
      <c r="Q20" s="59">
        <v>3</v>
      </c>
      <c r="R20" s="58">
        <f>SUM(L20:Q20)</f>
        <v>26</v>
      </c>
      <c r="S20" s="6">
        <f>SUM(R20,K20,I20,F20,D20)</f>
        <v>40</v>
      </c>
    </row>
    <row r="21" spans="1:19" ht="17" x14ac:dyDescent="0.25">
      <c r="A21" s="1"/>
      <c r="B21" s="15"/>
      <c r="C21" s="15"/>
      <c r="D21" s="59"/>
      <c r="E21" s="15"/>
      <c r="F21" s="59"/>
      <c r="G21" s="22"/>
      <c r="H21" s="133"/>
      <c r="I21" s="59"/>
      <c r="J21" s="15"/>
      <c r="K21" s="59"/>
      <c r="L21" s="59" t="s">
        <v>0</v>
      </c>
      <c r="M21" s="59"/>
      <c r="N21" s="59"/>
      <c r="O21" s="59"/>
      <c r="P21" s="59"/>
      <c r="Q21" s="59"/>
      <c r="R21" s="59"/>
      <c r="S21" s="25"/>
    </row>
    <row r="22" spans="1:19" ht="18" customHeight="1" x14ac:dyDescent="0.2">
      <c r="A22" s="7" t="s">
        <v>10</v>
      </c>
      <c r="B22" s="32"/>
      <c r="C22" s="32"/>
      <c r="D22" s="32"/>
      <c r="E22" s="32"/>
      <c r="F22" s="62"/>
      <c r="G22" s="33"/>
      <c r="H22" s="134"/>
      <c r="I22" s="32"/>
      <c r="J22" s="32"/>
      <c r="K22" s="32"/>
      <c r="L22" s="60" t="s">
        <v>0</v>
      </c>
      <c r="M22" s="32"/>
      <c r="N22" s="32"/>
      <c r="O22" s="32"/>
      <c r="P22" s="32"/>
      <c r="Q22" s="32"/>
      <c r="R22" s="32"/>
      <c r="S22" s="32"/>
    </row>
    <row r="23" spans="1:19" ht="17" x14ac:dyDescent="0.25">
      <c r="A23" s="1" t="s">
        <v>57</v>
      </c>
      <c r="B23" s="15">
        <v>34</v>
      </c>
      <c r="C23" s="15">
        <v>67</v>
      </c>
      <c r="D23" s="58">
        <f>SUM(B23:C23)</f>
        <v>101</v>
      </c>
      <c r="E23" s="15">
        <v>99</v>
      </c>
      <c r="F23" s="58">
        <f>SUM(E23)</f>
        <v>99</v>
      </c>
      <c r="G23" s="22">
        <v>38</v>
      </c>
      <c r="H23" s="139">
        <v>80</v>
      </c>
      <c r="I23" s="58">
        <f>SUM(G23:H23)</f>
        <v>118</v>
      </c>
      <c r="J23" s="15">
        <v>90</v>
      </c>
      <c r="K23" s="58">
        <f>SUM(J23:J23)</f>
        <v>90</v>
      </c>
      <c r="L23" s="59">
        <v>82</v>
      </c>
      <c r="M23" s="59">
        <v>89</v>
      </c>
      <c r="N23" s="59">
        <v>222</v>
      </c>
      <c r="O23" s="59">
        <v>67</v>
      </c>
      <c r="P23" s="59">
        <v>57</v>
      </c>
      <c r="Q23" s="59">
        <v>128</v>
      </c>
      <c r="R23" s="58">
        <f>SUM(L23,M23,N23,O23,P23,Q23)</f>
        <v>645</v>
      </c>
      <c r="S23" s="6">
        <f>SUM(D23,F23,I23,K23,R23)</f>
        <v>1053</v>
      </c>
    </row>
    <row r="24" spans="1:19" ht="17" x14ac:dyDescent="0.25">
      <c r="A24" s="1" t="s">
        <v>58</v>
      </c>
      <c r="B24" s="139">
        <v>3</v>
      </c>
      <c r="C24" s="139">
        <v>8</v>
      </c>
      <c r="D24" s="58">
        <f t="shared" ref="D24:D25" si="0">SUM(B24:C24)</f>
        <v>11</v>
      </c>
      <c r="E24" s="139">
        <v>25</v>
      </c>
      <c r="F24" s="58">
        <f t="shared" ref="F24:F25" si="1">SUM(E24)</f>
        <v>25</v>
      </c>
      <c r="G24" s="22">
        <v>0</v>
      </c>
      <c r="H24" s="133">
        <v>13</v>
      </c>
      <c r="I24" s="58">
        <f t="shared" ref="I24:I25" si="2">SUM(G24:H24)</f>
        <v>13</v>
      </c>
      <c r="J24" s="139">
        <v>15</v>
      </c>
      <c r="K24" s="58">
        <f t="shared" ref="K24:K25" si="3">SUM(J24:J24)</f>
        <v>15</v>
      </c>
      <c r="L24" s="59">
        <v>11</v>
      </c>
      <c r="M24" s="59">
        <v>20</v>
      </c>
      <c r="N24" s="59">
        <v>50</v>
      </c>
      <c r="O24" s="59">
        <v>6</v>
      </c>
      <c r="P24" s="59">
        <v>13</v>
      </c>
      <c r="Q24" s="59">
        <v>26</v>
      </c>
      <c r="R24" s="58">
        <f t="shared" ref="R24:R25" si="4">SUM(L24,M24,N24,O24,P24,Q24)</f>
        <v>126</v>
      </c>
      <c r="S24" s="6">
        <f t="shared" ref="S24:S25" si="5">SUM(D24,F24,I24,K24,R24)</f>
        <v>190</v>
      </c>
    </row>
    <row r="25" spans="1:19" ht="17" x14ac:dyDescent="0.25">
      <c r="A25" s="1" t="s">
        <v>59</v>
      </c>
      <c r="B25" s="139">
        <v>1</v>
      </c>
      <c r="C25" s="139">
        <v>7</v>
      </c>
      <c r="D25" s="58">
        <f t="shared" si="0"/>
        <v>8</v>
      </c>
      <c r="E25" s="139">
        <v>1</v>
      </c>
      <c r="F25" s="58">
        <f t="shared" si="1"/>
        <v>1</v>
      </c>
      <c r="G25" s="22">
        <v>0</v>
      </c>
      <c r="H25" s="133">
        <v>1</v>
      </c>
      <c r="I25" s="58">
        <f t="shared" si="2"/>
        <v>1</v>
      </c>
      <c r="J25" s="139">
        <v>1</v>
      </c>
      <c r="K25" s="58">
        <f t="shared" si="3"/>
        <v>1</v>
      </c>
      <c r="L25" s="59">
        <v>2</v>
      </c>
      <c r="M25" s="59">
        <v>3</v>
      </c>
      <c r="N25" s="59">
        <v>6</v>
      </c>
      <c r="O25" s="59">
        <v>1</v>
      </c>
      <c r="P25" s="59">
        <v>1</v>
      </c>
      <c r="Q25" s="59">
        <v>4</v>
      </c>
      <c r="R25" s="58">
        <f t="shared" si="4"/>
        <v>17</v>
      </c>
      <c r="S25" s="6">
        <f t="shared" si="5"/>
        <v>28</v>
      </c>
    </row>
    <row r="26" spans="1:19" ht="17" x14ac:dyDescent="0.25">
      <c r="A26" s="1"/>
      <c r="B26" s="15"/>
      <c r="C26" s="15" t="s">
        <v>0</v>
      </c>
      <c r="D26" s="169"/>
      <c r="E26" s="15"/>
      <c r="F26" s="169"/>
      <c r="G26" s="22"/>
      <c r="H26" s="133"/>
      <c r="I26" s="169"/>
      <c r="J26" s="15"/>
      <c r="K26" s="169"/>
      <c r="L26" s="59" t="s">
        <v>0</v>
      </c>
      <c r="M26" s="59"/>
      <c r="N26" s="59"/>
      <c r="O26" s="59"/>
      <c r="P26" s="59"/>
      <c r="Q26" s="59"/>
      <c r="R26" s="169"/>
      <c r="S26" s="170"/>
    </row>
    <row r="27" spans="1:19" ht="18" customHeight="1" x14ac:dyDescent="0.25">
      <c r="A27" s="7" t="s">
        <v>11</v>
      </c>
      <c r="B27" s="32"/>
      <c r="C27" s="32"/>
      <c r="D27" s="164"/>
      <c r="E27" s="32"/>
      <c r="F27" s="164"/>
      <c r="G27" s="33"/>
      <c r="H27" s="134"/>
      <c r="I27" s="164"/>
      <c r="J27" s="32"/>
      <c r="K27" s="164"/>
      <c r="L27" s="60" t="s">
        <v>0</v>
      </c>
      <c r="M27" s="32"/>
      <c r="N27" s="32"/>
      <c r="O27" s="32"/>
      <c r="P27" s="32"/>
      <c r="Q27" s="32"/>
      <c r="R27" s="164"/>
      <c r="S27" s="171"/>
    </row>
    <row r="28" spans="1:19" ht="17" x14ac:dyDescent="0.25">
      <c r="A28" s="1" t="s">
        <v>60</v>
      </c>
      <c r="B28" s="15">
        <v>34</v>
      </c>
      <c r="C28" s="15">
        <v>68</v>
      </c>
      <c r="D28" s="58">
        <f>SUM(B28:C28)</f>
        <v>102</v>
      </c>
      <c r="E28" s="15">
        <v>100</v>
      </c>
      <c r="F28" s="58">
        <f>SUM(E28)</f>
        <v>100</v>
      </c>
      <c r="G28" s="22">
        <v>38</v>
      </c>
      <c r="H28" s="139">
        <v>81</v>
      </c>
      <c r="I28" s="58">
        <f>SUM(G28:H28)</f>
        <v>119</v>
      </c>
      <c r="J28" s="15">
        <v>86</v>
      </c>
      <c r="K28" s="58">
        <f>SUM(J28:J28)</f>
        <v>86</v>
      </c>
      <c r="L28" s="59">
        <v>86</v>
      </c>
      <c r="M28" s="59">
        <v>97</v>
      </c>
      <c r="N28" s="59">
        <v>238</v>
      </c>
      <c r="O28" s="59">
        <v>67</v>
      </c>
      <c r="P28" s="59">
        <v>60</v>
      </c>
      <c r="Q28" s="59">
        <v>129</v>
      </c>
      <c r="R28" s="58">
        <f>SUM(L28:Q28)</f>
        <v>677</v>
      </c>
      <c r="S28" s="6">
        <f>SUM(D28,F28,I28,K28,R28)</f>
        <v>1084</v>
      </c>
    </row>
    <row r="29" spans="1:19" ht="17" x14ac:dyDescent="0.25">
      <c r="A29" s="1" t="s">
        <v>61</v>
      </c>
      <c r="B29" s="139">
        <v>1</v>
      </c>
      <c r="C29" s="139">
        <v>7</v>
      </c>
      <c r="D29" s="58">
        <f t="shared" ref="D29:D30" si="6">SUM(B29:C29)</f>
        <v>8</v>
      </c>
      <c r="E29" s="139">
        <v>20</v>
      </c>
      <c r="F29" s="58">
        <f t="shared" ref="F29:F30" si="7">SUM(E29)</f>
        <v>20</v>
      </c>
      <c r="G29" s="22">
        <v>0</v>
      </c>
      <c r="H29" s="133">
        <v>11</v>
      </c>
      <c r="I29" s="58">
        <f t="shared" ref="I29:I30" si="8">SUM(G29:H29)</f>
        <v>11</v>
      </c>
      <c r="J29" s="139">
        <v>14</v>
      </c>
      <c r="K29" s="58">
        <f t="shared" ref="K29:K30" si="9">SUM(J29:J29)</f>
        <v>14</v>
      </c>
      <c r="L29" s="59">
        <v>6</v>
      </c>
      <c r="M29" s="59">
        <v>13</v>
      </c>
      <c r="N29" s="59">
        <v>29</v>
      </c>
      <c r="O29" s="59">
        <v>1</v>
      </c>
      <c r="P29" s="59">
        <v>9</v>
      </c>
      <c r="Q29" s="59">
        <v>20</v>
      </c>
      <c r="R29" s="58">
        <f t="shared" ref="R29:R30" si="10">SUM(L29:Q29)</f>
        <v>78</v>
      </c>
      <c r="S29" s="6">
        <f t="shared" ref="S29:S30" si="11">SUM(D29,F29,I29,K29,R29)</f>
        <v>131</v>
      </c>
    </row>
    <row r="30" spans="1:19" ht="17" x14ac:dyDescent="0.25">
      <c r="A30" s="1" t="s">
        <v>62</v>
      </c>
      <c r="B30" s="139">
        <v>2</v>
      </c>
      <c r="C30" s="139">
        <v>6</v>
      </c>
      <c r="D30" s="58">
        <f t="shared" si="6"/>
        <v>8</v>
      </c>
      <c r="E30" s="139">
        <v>3</v>
      </c>
      <c r="F30" s="58">
        <f t="shared" si="7"/>
        <v>3</v>
      </c>
      <c r="G30" s="22">
        <v>0</v>
      </c>
      <c r="H30" s="133">
        <v>2</v>
      </c>
      <c r="I30" s="58">
        <f t="shared" si="8"/>
        <v>2</v>
      </c>
      <c r="J30" s="139">
        <v>4</v>
      </c>
      <c r="K30" s="58">
        <f t="shared" si="9"/>
        <v>4</v>
      </c>
      <c r="L30" s="59">
        <v>4</v>
      </c>
      <c r="M30" s="59">
        <v>2</v>
      </c>
      <c r="N30" s="59">
        <v>12</v>
      </c>
      <c r="O30" s="59">
        <v>3</v>
      </c>
      <c r="P30" s="59">
        <v>0</v>
      </c>
      <c r="Q30" s="59">
        <v>2</v>
      </c>
      <c r="R30" s="58">
        <f t="shared" si="10"/>
        <v>23</v>
      </c>
      <c r="S30" s="6">
        <f t="shared" si="11"/>
        <v>40</v>
      </c>
    </row>
    <row r="31" spans="1:19" ht="17" x14ac:dyDescent="0.25">
      <c r="A31" s="1"/>
      <c r="B31" s="15"/>
      <c r="C31" s="15"/>
      <c r="D31" s="169"/>
      <c r="E31" s="15"/>
      <c r="F31" s="169"/>
      <c r="G31" s="22"/>
      <c r="H31" s="133"/>
      <c r="I31" s="169"/>
      <c r="J31" s="15"/>
      <c r="K31" s="169"/>
      <c r="L31" s="59"/>
      <c r="M31" s="59"/>
      <c r="N31" s="59"/>
      <c r="O31" s="59"/>
      <c r="P31" s="59"/>
      <c r="Q31" s="59"/>
      <c r="R31" s="169"/>
      <c r="S31" s="170"/>
    </row>
    <row r="32" spans="1:19" ht="18" customHeight="1" x14ac:dyDescent="0.25">
      <c r="A32" s="7" t="s">
        <v>12</v>
      </c>
      <c r="B32" s="32"/>
      <c r="C32" s="32"/>
      <c r="D32" s="164"/>
      <c r="E32" s="32"/>
      <c r="F32" s="164"/>
      <c r="G32" s="33"/>
      <c r="H32" s="134"/>
      <c r="I32" s="164"/>
      <c r="J32" s="32" t="s">
        <v>0</v>
      </c>
      <c r="K32" s="164"/>
      <c r="L32" s="60"/>
      <c r="M32" s="32"/>
      <c r="N32" s="32"/>
      <c r="O32" s="32"/>
      <c r="P32" s="32"/>
      <c r="Q32" s="32"/>
      <c r="R32" s="164"/>
      <c r="S32" s="171"/>
    </row>
    <row r="33" spans="1:19" ht="17" x14ac:dyDescent="0.25">
      <c r="A33" s="1" t="s">
        <v>63</v>
      </c>
      <c r="B33" s="15">
        <v>32</v>
      </c>
      <c r="C33" s="15">
        <v>70</v>
      </c>
      <c r="D33" s="58">
        <f>SUM(B33:C33)</f>
        <v>102</v>
      </c>
      <c r="E33" s="15">
        <v>100</v>
      </c>
      <c r="F33" s="58">
        <f>SUM(E33)</f>
        <v>100</v>
      </c>
      <c r="G33" s="22">
        <v>38</v>
      </c>
      <c r="H33" s="77">
        <v>80</v>
      </c>
      <c r="I33" s="58">
        <f>SUM(G33:H33)</f>
        <v>118</v>
      </c>
      <c r="J33" s="15">
        <v>84</v>
      </c>
      <c r="K33" s="58">
        <f>SUM(J33)</f>
        <v>84</v>
      </c>
      <c r="L33" s="59">
        <v>88</v>
      </c>
      <c r="M33" s="59">
        <v>90</v>
      </c>
      <c r="N33" s="59">
        <v>247</v>
      </c>
      <c r="O33" s="59">
        <v>68</v>
      </c>
      <c r="P33" s="59">
        <v>65</v>
      </c>
      <c r="Q33" s="59">
        <v>131</v>
      </c>
      <c r="R33" s="58">
        <f>SUM(L33:Q33)</f>
        <v>689</v>
      </c>
      <c r="S33" s="6">
        <f>SUM(R33,K33,I33,F33,D33)</f>
        <v>1093</v>
      </c>
    </row>
    <row r="34" spans="1:19" ht="17" x14ac:dyDescent="0.25">
      <c r="A34" s="1" t="s">
        <v>64</v>
      </c>
      <c r="B34" s="15">
        <v>2</v>
      </c>
      <c r="C34" s="15">
        <v>6</v>
      </c>
      <c r="D34" s="58">
        <f>SUM(B34:C34)</f>
        <v>8</v>
      </c>
      <c r="E34" s="15">
        <v>19</v>
      </c>
      <c r="F34" s="58">
        <f>SUM(E34)</f>
        <v>19</v>
      </c>
      <c r="G34" s="22">
        <v>0</v>
      </c>
      <c r="H34" s="77">
        <v>13</v>
      </c>
      <c r="I34" s="58">
        <f>SUM(G34:H34)</f>
        <v>13</v>
      </c>
      <c r="J34" s="15">
        <v>14</v>
      </c>
      <c r="K34" s="58">
        <f>SUM(J34)</f>
        <v>14</v>
      </c>
      <c r="L34" s="59">
        <v>6</v>
      </c>
      <c r="M34" s="59">
        <v>14</v>
      </c>
      <c r="N34" s="59">
        <v>27</v>
      </c>
      <c r="O34" s="59">
        <v>4</v>
      </c>
      <c r="P34" s="59">
        <v>6</v>
      </c>
      <c r="Q34" s="59">
        <v>19</v>
      </c>
      <c r="R34" s="58">
        <f>SUM(L34:Q34)</f>
        <v>76</v>
      </c>
      <c r="S34" s="6">
        <f>SUM(R34,K34,I34,F34,D34)</f>
        <v>130</v>
      </c>
    </row>
    <row r="35" spans="1:19" ht="17" x14ac:dyDescent="0.25">
      <c r="A35" s="1" t="s">
        <v>65</v>
      </c>
      <c r="B35" s="15">
        <v>3</v>
      </c>
      <c r="C35" s="15">
        <v>3</v>
      </c>
      <c r="D35" s="58">
        <f>SUM(B35:C35)</f>
        <v>6</v>
      </c>
      <c r="E35" s="15">
        <v>4</v>
      </c>
      <c r="F35" s="58">
        <f>SUM(E35)</f>
        <v>4</v>
      </c>
      <c r="G35" s="22">
        <v>0</v>
      </c>
      <c r="H35" s="77">
        <v>1</v>
      </c>
      <c r="I35" s="58">
        <f>SUM(G35:H35)</f>
        <v>1</v>
      </c>
      <c r="J35" s="15">
        <v>5</v>
      </c>
      <c r="K35" s="58">
        <f>SUM(J35)</f>
        <v>5</v>
      </c>
      <c r="L35" s="59">
        <v>2</v>
      </c>
      <c r="M35" s="59">
        <v>8</v>
      </c>
      <c r="N35" s="59">
        <v>8</v>
      </c>
      <c r="O35" s="59">
        <v>2</v>
      </c>
      <c r="P35" s="59">
        <v>0</v>
      </c>
      <c r="Q35" s="59">
        <v>4</v>
      </c>
      <c r="R35" s="58">
        <f>SUM(L35:Q35)</f>
        <v>24</v>
      </c>
      <c r="S35" s="6">
        <f>SUM(R35,K35,I35,F35,D35)</f>
        <v>40</v>
      </c>
    </row>
    <row r="36" spans="1:19" ht="17" x14ac:dyDescent="0.25">
      <c r="A36" s="1"/>
      <c r="B36" s="15"/>
      <c r="C36" s="15"/>
      <c r="D36" s="61"/>
      <c r="E36" s="15"/>
      <c r="F36" s="61"/>
      <c r="G36" s="22"/>
      <c r="H36" s="133"/>
      <c r="I36" s="61"/>
      <c r="J36" s="15"/>
      <c r="K36" s="61"/>
      <c r="L36" s="59"/>
      <c r="M36" s="59"/>
      <c r="N36" s="59"/>
      <c r="O36" s="59"/>
      <c r="P36" s="59"/>
      <c r="Q36" s="59"/>
      <c r="R36" s="61"/>
      <c r="S36" s="26"/>
    </row>
    <row r="37" spans="1:19" ht="18" customHeight="1" x14ac:dyDescent="0.15">
      <c r="A37" s="30" t="s">
        <v>13</v>
      </c>
      <c r="B37" s="20"/>
      <c r="C37" s="20"/>
      <c r="D37" s="20"/>
      <c r="E37" s="20"/>
      <c r="F37" s="60"/>
      <c r="G37" s="31"/>
      <c r="H37" s="144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 ht="17" x14ac:dyDescent="0.25">
      <c r="A38" s="1" t="s">
        <v>66</v>
      </c>
      <c r="B38" s="15">
        <v>34</v>
      </c>
      <c r="C38" s="15">
        <v>68</v>
      </c>
      <c r="D38" s="58">
        <f>SUM(B38:C38)</f>
        <v>102</v>
      </c>
      <c r="E38" s="15">
        <v>101</v>
      </c>
      <c r="F38" s="58">
        <f>SUM(E38)</f>
        <v>101</v>
      </c>
      <c r="G38" s="22">
        <v>37</v>
      </c>
      <c r="H38" s="77">
        <v>78</v>
      </c>
      <c r="I38" s="58">
        <f>SUM(G38:H38)</f>
        <v>115</v>
      </c>
      <c r="J38" s="15">
        <v>89</v>
      </c>
      <c r="K38" s="58">
        <f>SUM(J38)</f>
        <v>89</v>
      </c>
      <c r="L38" s="59">
        <v>84</v>
      </c>
      <c r="M38" s="59">
        <v>97</v>
      </c>
      <c r="N38" s="59">
        <v>234</v>
      </c>
      <c r="O38" s="59">
        <v>70</v>
      </c>
      <c r="P38" s="59">
        <v>58</v>
      </c>
      <c r="Q38" s="59">
        <v>127</v>
      </c>
      <c r="R38" s="58">
        <f>SUM(L38:Q38)</f>
        <v>670</v>
      </c>
      <c r="S38" s="6">
        <f>SUM(R38,K38,I38,F38,D38)</f>
        <v>1077</v>
      </c>
    </row>
    <row r="39" spans="1:19" ht="17" x14ac:dyDescent="0.25">
      <c r="A39" s="1" t="s">
        <v>67</v>
      </c>
      <c r="B39" s="15">
        <v>3</v>
      </c>
      <c r="C39" s="15">
        <v>10</v>
      </c>
      <c r="D39" s="58">
        <f>SUM(B39:C39)</f>
        <v>13</v>
      </c>
      <c r="E39" s="15">
        <v>22</v>
      </c>
      <c r="F39" s="58">
        <f>SUM(E39)</f>
        <v>22</v>
      </c>
      <c r="G39" s="22">
        <v>0</v>
      </c>
      <c r="H39" s="77">
        <v>13</v>
      </c>
      <c r="I39" s="58">
        <f>SUM(G39:H39)</f>
        <v>13</v>
      </c>
      <c r="J39" s="15">
        <v>14</v>
      </c>
      <c r="K39" s="58">
        <f>SUM(J39)</f>
        <v>14</v>
      </c>
      <c r="L39" s="59">
        <v>9</v>
      </c>
      <c r="M39" s="59">
        <v>15</v>
      </c>
      <c r="N39" s="59">
        <v>38</v>
      </c>
      <c r="O39" s="59">
        <v>1</v>
      </c>
      <c r="P39" s="59">
        <v>10</v>
      </c>
      <c r="Q39" s="59">
        <v>21</v>
      </c>
      <c r="R39" s="58">
        <f>SUM(L39:Q39)</f>
        <v>94</v>
      </c>
      <c r="S39" s="6">
        <f>SUM(R39,K39,I39,F39,D39)</f>
        <v>156</v>
      </c>
    </row>
    <row r="40" spans="1:19" ht="17" x14ac:dyDescent="0.25">
      <c r="A40" s="1" t="s">
        <v>68</v>
      </c>
      <c r="B40" s="15">
        <v>0</v>
      </c>
      <c r="C40" s="15">
        <v>3</v>
      </c>
      <c r="D40" s="58">
        <f>SUM(B40:C40)</f>
        <v>3</v>
      </c>
      <c r="E40" s="15">
        <v>0</v>
      </c>
      <c r="F40" s="58">
        <f>SUM(E40)</f>
        <v>0</v>
      </c>
      <c r="G40" s="22">
        <v>1</v>
      </c>
      <c r="H40" s="139">
        <v>3</v>
      </c>
      <c r="I40" s="58">
        <f>SUM(G40:H40)</f>
        <v>4</v>
      </c>
      <c r="J40" s="15">
        <v>1</v>
      </c>
      <c r="K40" s="58">
        <f>SUM(J40:J40)</f>
        <v>1</v>
      </c>
      <c r="L40" s="59">
        <v>2</v>
      </c>
      <c r="M40" s="59">
        <v>1</v>
      </c>
      <c r="N40" s="59">
        <v>7</v>
      </c>
      <c r="O40" s="59">
        <v>2</v>
      </c>
      <c r="P40" s="59">
        <v>1</v>
      </c>
      <c r="Q40" s="59">
        <v>4</v>
      </c>
      <c r="R40" s="58">
        <f>SUM(L40:Q40)</f>
        <v>17</v>
      </c>
      <c r="S40" s="6">
        <f>SUM(R40,K40,I40,F40,D40)</f>
        <v>25</v>
      </c>
    </row>
    <row r="41" spans="1:19" s="10" customFormat="1" ht="17" x14ac:dyDescent="0.25">
      <c r="A41" s="43"/>
      <c r="B41" s="44"/>
      <c r="C41" s="44"/>
      <c r="D41" s="63"/>
      <c r="E41" s="44"/>
      <c r="F41" s="63"/>
      <c r="G41" s="45"/>
      <c r="H41" s="148"/>
      <c r="I41" s="63"/>
      <c r="J41" s="44"/>
      <c r="K41" s="63"/>
      <c r="L41" s="63"/>
      <c r="M41" s="63"/>
      <c r="N41" s="63"/>
      <c r="O41" s="63"/>
      <c r="P41" s="63"/>
      <c r="Q41" s="63"/>
      <c r="R41" s="71"/>
      <c r="S41" s="25"/>
    </row>
    <row r="42" spans="1:19" ht="0.75" customHeight="1" x14ac:dyDescent="0.25">
      <c r="A42" s="40"/>
      <c r="B42" s="41"/>
      <c r="C42" s="41"/>
      <c r="D42" s="64"/>
      <c r="E42" s="41"/>
      <c r="F42" s="64"/>
      <c r="G42" s="42"/>
      <c r="H42" s="70" t="s">
        <v>19</v>
      </c>
      <c r="I42" s="64"/>
      <c r="J42" s="41"/>
      <c r="K42" s="64"/>
      <c r="L42" s="84"/>
      <c r="M42" s="84"/>
      <c r="N42" s="84"/>
      <c r="O42" s="84"/>
      <c r="P42" s="84"/>
      <c r="Q42" s="84"/>
      <c r="R42" s="64"/>
      <c r="S42" s="26"/>
    </row>
    <row r="43" spans="1:19" ht="18" customHeight="1" x14ac:dyDescent="0.2">
      <c r="A43" s="46" t="s">
        <v>14</v>
      </c>
      <c r="B43" s="47"/>
      <c r="C43" s="47"/>
      <c r="D43" s="47"/>
      <c r="E43" s="47"/>
      <c r="F43" s="65"/>
      <c r="G43" s="48" t="s">
        <v>0</v>
      </c>
      <c r="H43" s="143"/>
      <c r="I43" s="47"/>
      <c r="J43" s="47"/>
      <c r="K43" s="47"/>
      <c r="L43" s="47"/>
      <c r="M43" s="47"/>
      <c r="N43" s="47"/>
      <c r="O43" s="47"/>
      <c r="P43" s="47"/>
      <c r="Q43" s="47"/>
      <c r="R43" s="54"/>
      <c r="S43" s="32"/>
    </row>
    <row r="44" spans="1:19" ht="17" x14ac:dyDescent="0.25">
      <c r="A44" s="1" t="s">
        <v>69</v>
      </c>
      <c r="B44" s="15">
        <v>33</v>
      </c>
      <c r="C44" s="15">
        <v>69</v>
      </c>
      <c r="D44" s="58">
        <f>SUM(B44:C44)</f>
        <v>102</v>
      </c>
      <c r="E44" s="15">
        <v>102</v>
      </c>
      <c r="F44" s="58">
        <f>SUM(E44)</f>
        <v>102</v>
      </c>
      <c r="G44" s="22">
        <v>38</v>
      </c>
      <c r="H44" s="139">
        <v>80</v>
      </c>
      <c r="I44" s="58">
        <f>SUM(G44:H44)</f>
        <v>118</v>
      </c>
      <c r="J44" s="15">
        <v>87</v>
      </c>
      <c r="K44" s="58">
        <f>SUM(J44:J44)</f>
        <v>87</v>
      </c>
      <c r="L44" s="59">
        <v>86</v>
      </c>
      <c r="M44" s="59">
        <v>94</v>
      </c>
      <c r="N44" s="59">
        <v>242</v>
      </c>
      <c r="O44" s="59">
        <v>68</v>
      </c>
      <c r="P44" s="59">
        <v>60</v>
      </c>
      <c r="Q44" s="59">
        <v>128</v>
      </c>
      <c r="R44" s="58">
        <f>SUM(L44:Q44)</f>
        <v>678</v>
      </c>
      <c r="S44" s="6">
        <f>SUM(D44,F44,I44,K44,R44)</f>
        <v>1087</v>
      </c>
    </row>
    <row r="45" spans="1:19" ht="17" x14ac:dyDescent="0.25">
      <c r="A45" s="1" t="s">
        <v>70</v>
      </c>
      <c r="B45" s="139">
        <v>1</v>
      </c>
      <c r="C45" s="139">
        <v>8</v>
      </c>
      <c r="D45" s="58">
        <f>SUM(B45:C45)</f>
        <v>9</v>
      </c>
      <c r="E45" s="139">
        <v>18</v>
      </c>
      <c r="F45" s="58">
        <f>SUM(E45)</f>
        <v>18</v>
      </c>
      <c r="G45" s="22">
        <v>0</v>
      </c>
      <c r="H45" s="133">
        <v>11</v>
      </c>
      <c r="I45" s="58">
        <f>SUM(G45:H45)</f>
        <v>11</v>
      </c>
      <c r="J45" s="139">
        <v>12</v>
      </c>
      <c r="K45" s="58">
        <f>SUM(J45:J45)</f>
        <v>12</v>
      </c>
      <c r="L45" s="59">
        <v>7</v>
      </c>
      <c r="M45" s="59">
        <v>13</v>
      </c>
      <c r="N45" s="59">
        <v>28</v>
      </c>
      <c r="O45" s="59">
        <v>2</v>
      </c>
      <c r="P45" s="59">
        <v>9</v>
      </c>
      <c r="Q45" s="59">
        <v>22</v>
      </c>
      <c r="R45" s="58">
        <f>SUM(L45:Q45)</f>
        <v>81</v>
      </c>
      <c r="S45" s="6">
        <f>SUM(D45,F45,I45,K45,R45)</f>
        <v>131</v>
      </c>
    </row>
    <row r="46" spans="1:19" ht="17" x14ac:dyDescent="0.25">
      <c r="A46" s="1" t="s">
        <v>71</v>
      </c>
      <c r="B46" s="15">
        <v>1</v>
      </c>
      <c r="C46" s="15">
        <v>3</v>
      </c>
      <c r="D46" s="58">
        <f>SUM(B46:C46)</f>
        <v>4</v>
      </c>
      <c r="E46" s="15">
        <v>2</v>
      </c>
      <c r="F46" s="58">
        <f>SUM(E46)</f>
        <v>2</v>
      </c>
      <c r="G46" s="22">
        <v>0</v>
      </c>
      <c r="H46" s="133">
        <v>2</v>
      </c>
      <c r="I46" s="58">
        <f>SUM(G46:H46)</f>
        <v>2</v>
      </c>
      <c r="J46" s="15">
        <v>4</v>
      </c>
      <c r="K46" s="58">
        <f>SUM(J46)</f>
        <v>4</v>
      </c>
      <c r="L46" s="59">
        <v>3</v>
      </c>
      <c r="M46" s="59">
        <v>6</v>
      </c>
      <c r="N46" s="59">
        <v>12</v>
      </c>
      <c r="O46" s="59">
        <v>2</v>
      </c>
      <c r="P46" s="59">
        <v>0</v>
      </c>
      <c r="Q46" s="59">
        <v>3</v>
      </c>
      <c r="R46" s="58">
        <f>SUM(L46:Q46)</f>
        <v>26</v>
      </c>
      <c r="S46" s="6">
        <f>SUM(D46,F46,I46,K46,R46)</f>
        <v>38</v>
      </c>
    </row>
    <row r="47" spans="1:19" ht="17" x14ac:dyDescent="0.25">
      <c r="A47" s="1"/>
      <c r="B47" s="15"/>
      <c r="C47" s="15"/>
      <c r="D47" s="61"/>
      <c r="E47" s="15"/>
      <c r="F47" s="61"/>
      <c r="G47" s="22"/>
      <c r="H47" s="133"/>
      <c r="I47" s="61"/>
      <c r="J47" s="15"/>
      <c r="K47" s="61"/>
      <c r="L47" s="59"/>
      <c r="M47" s="59"/>
      <c r="N47" s="59"/>
      <c r="O47" s="59"/>
      <c r="P47" s="59"/>
      <c r="Q47" s="59"/>
      <c r="R47" s="61"/>
      <c r="S47" s="26"/>
    </row>
    <row r="48" spans="1:19" ht="18" customHeight="1" x14ac:dyDescent="0.2">
      <c r="A48" s="7" t="s">
        <v>34</v>
      </c>
      <c r="B48" s="32"/>
      <c r="C48" s="32"/>
      <c r="D48" s="32"/>
      <c r="E48" s="32"/>
      <c r="F48" s="62"/>
      <c r="G48" s="33"/>
      <c r="H48" s="134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</row>
    <row r="49" spans="1:110" ht="17" x14ac:dyDescent="0.25">
      <c r="A49" s="1" t="s">
        <v>72</v>
      </c>
      <c r="B49" s="15">
        <v>35</v>
      </c>
      <c r="C49" s="15">
        <v>70</v>
      </c>
      <c r="D49" s="58">
        <f>SUM(B49:C49)</f>
        <v>105</v>
      </c>
      <c r="E49" s="15">
        <v>100</v>
      </c>
      <c r="F49" s="58">
        <f>SUM(E49)</f>
        <v>100</v>
      </c>
      <c r="G49" s="22">
        <v>37</v>
      </c>
      <c r="H49" s="139">
        <v>81</v>
      </c>
      <c r="I49" s="58">
        <f>SUM(G49:H49)</f>
        <v>118</v>
      </c>
      <c r="J49" s="15">
        <v>88</v>
      </c>
      <c r="K49" s="58">
        <f>SUM(J49:J49)</f>
        <v>88</v>
      </c>
      <c r="L49" s="59">
        <v>87</v>
      </c>
      <c r="M49" s="59">
        <v>97</v>
      </c>
      <c r="N49" s="59">
        <v>239</v>
      </c>
      <c r="O49" s="59">
        <v>72</v>
      </c>
      <c r="P49" s="59">
        <v>58</v>
      </c>
      <c r="Q49" s="59">
        <v>130</v>
      </c>
      <c r="R49" s="58">
        <f>SUM(L49:Q49)</f>
        <v>683</v>
      </c>
      <c r="S49" s="6">
        <f>SUM(D49,F49,I49,K49,R49)</f>
        <v>1094</v>
      </c>
    </row>
    <row r="50" spans="1:110" ht="17" x14ac:dyDescent="0.25">
      <c r="A50" s="1" t="s">
        <v>75</v>
      </c>
      <c r="B50" s="139">
        <v>1</v>
      </c>
      <c r="C50" s="139">
        <v>10</v>
      </c>
      <c r="D50" s="58">
        <f>SUM(B50:C50)</f>
        <v>11</v>
      </c>
      <c r="E50" s="139">
        <v>22</v>
      </c>
      <c r="F50" s="58">
        <f>SUM(E50)</f>
        <v>22</v>
      </c>
      <c r="G50" s="22">
        <v>0</v>
      </c>
      <c r="H50" s="133">
        <v>11</v>
      </c>
      <c r="I50" s="58">
        <f>SUM(G50:H50)</f>
        <v>11</v>
      </c>
      <c r="J50" s="139">
        <v>16</v>
      </c>
      <c r="K50" s="58">
        <f>SUM(J50:J50)</f>
        <v>16</v>
      </c>
      <c r="L50" s="59">
        <v>9</v>
      </c>
      <c r="M50" s="59">
        <v>15</v>
      </c>
      <c r="N50" s="59">
        <v>40</v>
      </c>
      <c r="O50" s="59">
        <v>1</v>
      </c>
      <c r="P50" s="59">
        <v>9</v>
      </c>
      <c r="Q50" s="59">
        <v>22</v>
      </c>
      <c r="R50" s="58">
        <f>SUM(L50:Q50)</f>
        <v>96</v>
      </c>
      <c r="S50" s="6">
        <f>SUM(D50,F50,I50,K50,R50)</f>
        <v>156</v>
      </c>
    </row>
    <row r="51" spans="1:110" s="10" customFormat="1" ht="18" customHeight="1" x14ac:dyDescent="0.15">
      <c r="A51" s="56"/>
      <c r="B51" s="35"/>
      <c r="C51" s="35"/>
      <c r="D51" s="35"/>
      <c r="E51" s="35"/>
      <c r="F51" s="59"/>
      <c r="G51" s="36"/>
      <c r="H51" s="149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10" s="10" customFormat="1" ht="18" customHeight="1" x14ac:dyDescent="0.15">
      <c r="A52" s="30" t="s">
        <v>35</v>
      </c>
      <c r="B52" s="20"/>
      <c r="C52" s="20"/>
      <c r="D52" s="20"/>
      <c r="E52" s="20"/>
      <c r="F52" s="60"/>
      <c r="G52" s="31"/>
      <c r="H52" s="144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</row>
    <row r="53" spans="1:110" s="10" customFormat="1" ht="17" x14ac:dyDescent="0.25">
      <c r="A53" s="1" t="s">
        <v>74</v>
      </c>
      <c r="B53" s="15">
        <v>34</v>
      </c>
      <c r="C53" s="15">
        <v>71</v>
      </c>
      <c r="D53" s="58">
        <f>SUM(B53:C53)</f>
        <v>105</v>
      </c>
      <c r="E53" s="15">
        <v>100</v>
      </c>
      <c r="F53" s="58">
        <f>SUM(E53)</f>
        <v>100</v>
      </c>
      <c r="G53" s="22">
        <v>37</v>
      </c>
      <c r="H53" s="139">
        <v>80</v>
      </c>
      <c r="I53" s="58">
        <f>SUM(G53:H53)</f>
        <v>117</v>
      </c>
      <c r="J53" s="15">
        <v>89</v>
      </c>
      <c r="K53" s="58">
        <f>SUM(J53:J53)</f>
        <v>89</v>
      </c>
      <c r="L53" s="59">
        <v>87</v>
      </c>
      <c r="M53" s="59">
        <v>97</v>
      </c>
      <c r="N53" s="59">
        <v>248</v>
      </c>
      <c r="O53" s="59">
        <v>69</v>
      </c>
      <c r="P53" s="59">
        <v>61</v>
      </c>
      <c r="Q53" s="59">
        <v>127</v>
      </c>
      <c r="R53" s="58">
        <f>SUM(L53:Q53)</f>
        <v>689</v>
      </c>
      <c r="S53" s="6">
        <f>SUM(D53,F53,I53,K53,R53)</f>
        <v>1100</v>
      </c>
    </row>
    <row r="54" spans="1:110" s="10" customFormat="1" ht="17" x14ac:dyDescent="0.25">
      <c r="A54" s="1" t="s">
        <v>73</v>
      </c>
      <c r="B54" s="139">
        <v>1</v>
      </c>
      <c r="C54" s="139">
        <v>9</v>
      </c>
      <c r="D54" s="58">
        <f>SUM(B54:C54)</f>
        <v>10</v>
      </c>
      <c r="E54" s="139">
        <v>20</v>
      </c>
      <c r="F54" s="58">
        <f>SUM(E54)</f>
        <v>20</v>
      </c>
      <c r="G54" s="22">
        <v>0</v>
      </c>
      <c r="H54" s="133">
        <v>14</v>
      </c>
      <c r="I54" s="58">
        <f>SUM(G54:H54)</f>
        <v>14</v>
      </c>
      <c r="J54" s="139">
        <v>14</v>
      </c>
      <c r="K54" s="58">
        <f>SUM(J54:J54)</f>
        <v>14</v>
      </c>
      <c r="L54" s="59">
        <v>8</v>
      </c>
      <c r="M54" s="59">
        <v>15</v>
      </c>
      <c r="N54" s="59">
        <v>30</v>
      </c>
      <c r="O54" s="59">
        <v>2</v>
      </c>
      <c r="P54" s="59">
        <v>7</v>
      </c>
      <c r="Q54" s="59">
        <v>24</v>
      </c>
      <c r="R54" s="58">
        <f>SUM(L54:Q54)</f>
        <v>86</v>
      </c>
      <c r="S54" s="6">
        <f>SUM(D54,F54,I54,K54,R54)</f>
        <v>144</v>
      </c>
    </row>
    <row r="55" spans="1:110" s="10" customFormat="1" ht="17" x14ac:dyDescent="0.25">
      <c r="A55" s="1"/>
      <c r="B55" s="15"/>
      <c r="C55" s="15"/>
      <c r="D55" s="61"/>
      <c r="E55" s="15"/>
      <c r="F55" s="61"/>
      <c r="G55" s="22"/>
      <c r="H55" s="133"/>
      <c r="I55" s="61"/>
      <c r="J55" s="15"/>
      <c r="K55" s="61"/>
      <c r="L55" s="59"/>
      <c r="M55" s="59"/>
      <c r="N55" s="59"/>
      <c r="O55" s="59"/>
      <c r="P55" s="59"/>
      <c r="Q55" s="59"/>
      <c r="R55" s="61"/>
      <c r="S55" s="26"/>
    </row>
    <row r="56" spans="1:110" s="10" customFormat="1" ht="18" customHeight="1" x14ac:dyDescent="0.15">
      <c r="A56" s="30" t="s">
        <v>36</v>
      </c>
      <c r="B56" s="20"/>
      <c r="C56" s="20"/>
      <c r="D56" s="20"/>
      <c r="E56" s="20"/>
      <c r="F56" s="60"/>
      <c r="G56" s="31"/>
      <c r="H56" s="144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</row>
    <row r="57" spans="1:110" s="10" customFormat="1" ht="17" x14ac:dyDescent="0.25">
      <c r="A57" s="1" t="s">
        <v>76</v>
      </c>
      <c r="B57" s="15">
        <v>33</v>
      </c>
      <c r="C57" s="15">
        <v>68</v>
      </c>
      <c r="D57" s="58">
        <f>SUM(B57:C57)</f>
        <v>101</v>
      </c>
      <c r="E57" s="15">
        <v>100</v>
      </c>
      <c r="F57" s="58">
        <f>SUM(E57)</f>
        <v>100</v>
      </c>
      <c r="G57" s="22">
        <v>38</v>
      </c>
      <c r="H57" s="139">
        <v>80</v>
      </c>
      <c r="I57" s="58">
        <f>SUM(G57:H57)</f>
        <v>118</v>
      </c>
      <c r="J57" s="15">
        <v>90</v>
      </c>
      <c r="K57" s="58">
        <f>SUM(J57:J57)</f>
        <v>90</v>
      </c>
      <c r="L57" s="59">
        <v>89</v>
      </c>
      <c r="M57" s="59">
        <v>98</v>
      </c>
      <c r="N57" s="59">
        <v>243</v>
      </c>
      <c r="O57" s="59">
        <v>71</v>
      </c>
      <c r="P57" s="59">
        <v>61</v>
      </c>
      <c r="Q57" s="59">
        <v>130</v>
      </c>
      <c r="R57" s="58">
        <f>SUM(L57:Q57)</f>
        <v>692</v>
      </c>
      <c r="S57" s="6">
        <f>SUM(D57,F57,I57,K57,R57)</f>
        <v>1101</v>
      </c>
    </row>
    <row r="58" spans="1:110" s="10" customFormat="1" ht="17" x14ac:dyDescent="0.25">
      <c r="A58" s="1" t="s">
        <v>77</v>
      </c>
      <c r="B58" s="139">
        <v>2</v>
      </c>
      <c r="C58" s="139">
        <v>11</v>
      </c>
      <c r="D58" s="58">
        <f>SUM(B58:C58)</f>
        <v>13</v>
      </c>
      <c r="E58" s="139">
        <v>21</v>
      </c>
      <c r="F58" s="58">
        <f>SUM(E58)</f>
        <v>21</v>
      </c>
      <c r="G58" s="22">
        <v>0</v>
      </c>
      <c r="H58" s="133">
        <v>12</v>
      </c>
      <c r="I58" s="58">
        <f>SUM(G58:H58)</f>
        <v>12</v>
      </c>
      <c r="J58" s="139">
        <v>15</v>
      </c>
      <c r="K58" s="58">
        <f>SUM(J58:J58)</f>
        <v>15</v>
      </c>
      <c r="L58" s="59">
        <v>7</v>
      </c>
      <c r="M58" s="59">
        <v>13</v>
      </c>
      <c r="N58" s="59">
        <v>32</v>
      </c>
      <c r="O58" s="59">
        <v>2</v>
      </c>
      <c r="P58" s="59">
        <v>7</v>
      </c>
      <c r="Q58" s="59">
        <v>20</v>
      </c>
      <c r="R58" s="58">
        <f>SUM(L58:Q58)</f>
        <v>81</v>
      </c>
      <c r="S58" s="6">
        <f>SUM(D58,F58,I58,K58,R58)</f>
        <v>142</v>
      </c>
    </row>
    <row r="59" spans="1:110" s="10" customFormat="1" ht="17" x14ac:dyDescent="0.25">
      <c r="A59" s="1"/>
      <c r="B59" s="15"/>
      <c r="C59" s="15"/>
      <c r="D59" s="59"/>
      <c r="E59" s="15"/>
      <c r="F59" s="59"/>
      <c r="G59" s="22"/>
      <c r="H59" s="133"/>
      <c r="I59" s="59"/>
      <c r="J59" s="15"/>
      <c r="K59" s="59"/>
      <c r="L59" s="59"/>
      <c r="M59" s="59"/>
      <c r="N59" s="59"/>
      <c r="O59" s="59"/>
      <c r="P59" s="59"/>
      <c r="Q59" s="59"/>
      <c r="R59" s="59"/>
      <c r="S59" s="25"/>
    </row>
    <row r="60" spans="1:110" ht="18" customHeight="1" x14ac:dyDescent="0.15">
      <c r="A60" s="111" t="s">
        <v>37</v>
      </c>
      <c r="B60" s="112"/>
      <c r="C60" s="112"/>
      <c r="D60" s="112"/>
      <c r="E60" s="112"/>
      <c r="F60" s="113"/>
      <c r="G60" s="114"/>
      <c r="H60" s="115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</row>
    <row r="61" spans="1:110" s="1" customFormat="1" ht="18" customHeight="1" x14ac:dyDescent="0.25">
      <c r="A61" s="1" t="s">
        <v>78</v>
      </c>
      <c r="B61" s="15">
        <v>34</v>
      </c>
      <c r="C61" s="15">
        <v>70</v>
      </c>
      <c r="D61" s="58">
        <f>SUM(B61:C61)</f>
        <v>104</v>
      </c>
      <c r="E61" s="15">
        <v>97</v>
      </c>
      <c r="F61" s="58">
        <f>SUM(E61)</f>
        <v>97</v>
      </c>
      <c r="G61" s="15">
        <v>38</v>
      </c>
      <c r="H61" s="15">
        <v>82</v>
      </c>
      <c r="I61" s="58">
        <f>SUM(G61:H61)</f>
        <v>120</v>
      </c>
      <c r="J61" s="15">
        <v>88</v>
      </c>
      <c r="K61" s="58">
        <f>SUM(J61)</f>
        <v>88</v>
      </c>
      <c r="L61" s="107">
        <v>85</v>
      </c>
      <c r="M61" s="107">
        <v>95</v>
      </c>
      <c r="N61" s="107">
        <v>234</v>
      </c>
      <c r="O61" s="107">
        <v>70</v>
      </c>
      <c r="P61" s="107">
        <v>60</v>
      </c>
      <c r="Q61" s="107">
        <v>127</v>
      </c>
      <c r="R61" s="58">
        <f>SUM(L61:Q61)</f>
        <v>671</v>
      </c>
      <c r="S61" s="117">
        <f>SUM(R61,K61,I61,F61,D61)</f>
        <v>1080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116"/>
    </row>
    <row r="62" spans="1:110" s="1" customFormat="1" ht="18" customHeight="1" x14ac:dyDescent="0.25">
      <c r="A62" s="1" t="s">
        <v>79</v>
      </c>
      <c r="B62" s="15">
        <v>1</v>
      </c>
      <c r="C62" s="15">
        <v>7</v>
      </c>
      <c r="D62" s="58">
        <f>SUM(B62:C62)</f>
        <v>8</v>
      </c>
      <c r="E62" s="15">
        <v>20</v>
      </c>
      <c r="F62" s="58">
        <f>SUM(E62)</f>
        <v>20</v>
      </c>
      <c r="G62" s="15">
        <v>0</v>
      </c>
      <c r="H62" s="15">
        <v>11</v>
      </c>
      <c r="I62" s="58">
        <f>SUM(G62:H62)</f>
        <v>11</v>
      </c>
      <c r="J62" s="15">
        <v>13</v>
      </c>
      <c r="K62" s="58">
        <f>SUM(J62)</f>
        <v>13</v>
      </c>
      <c r="L62" s="107">
        <v>9</v>
      </c>
      <c r="M62" s="107">
        <v>14</v>
      </c>
      <c r="N62" s="107">
        <v>36</v>
      </c>
      <c r="O62" s="107">
        <v>2</v>
      </c>
      <c r="P62" s="107">
        <v>8</v>
      </c>
      <c r="Q62" s="107">
        <v>20</v>
      </c>
      <c r="R62" s="58">
        <f>SUM(L62:Q62)</f>
        <v>89</v>
      </c>
      <c r="S62" s="117">
        <f>SUM(R62,K62,I62,F62,D62)</f>
        <v>141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116"/>
    </row>
    <row r="63" spans="1:110" s="1" customFormat="1" ht="18" customHeight="1" x14ac:dyDescent="0.25">
      <c r="A63" s="1" t="s">
        <v>80</v>
      </c>
      <c r="B63" s="139">
        <v>0</v>
      </c>
      <c r="C63" s="139">
        <v>3</v>
      </c>
      <c r="D63" s="58">
        <f>SUM(B63:C63)</f>
        <v>3</v>
      </c>
      <c r="E63" s="139">
        <v>3</v>
      </c>
      <c r="F63" s="58">
        <f>SUM(E63)</f>
        <v>3</v>
      </c>
      <c r="G63" s="139">
        <v>0</v>
      </c>
      <c r="H63" s="139">
        <v>0</v>
      </c>
      <c r="I63" s="58">
        <f>SUM(G63:H63)</f>
        <v>0</v>
      </c>
      <c r="J63" s="139">
        <v>3</v>
      </c>
      <c r="K63" s="58">
        <f>SUM(J63)</f>
        <v>3</v>
      </c>
      <c r="L63" s="107">
        <v>2</v>
      </c>
      <c r="M63" s="107">
        <v>2</v>
      </c>
      <c r="N63" s="107">
        <v>6</v>
      </c>
      <c r="O63" s="107">
        <v>1</v>
      </c>
      <c r="P63" s="107">
        <v>2</v>
      </c>
      <c r="Q63" s="107">
        <v>4</v>
      </c>
      <c r="R63" s="58">
        <f>SUM(L63:Q63)</f>
        <v>17</v>
      </c>
      <c r="S63" s="117">
        <f>SUM(R63,K63,I63,F63,D63)</f>
        <v>26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116"/>
    </row>
    <row r="64" spans="1:110" s="1" customFormat="1" ht="18" customHeight="1" x14ac:dyDescent="0.15"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116"/>
    </row>
    <row r="65" spans="1:19" ht="18" customHeight="1" x14ac:dyDescent="0.15">
      <c r="A65" s="37" t="s">
        <v>38</v>
      </c>
      <c r="B65" s="108"/>
      <c r="C65" s="108"/>
      <c r="D65" s="108"/>
      <c r="E65" s="108"/>
      <c r="F65" s="109"/>
      <c r="G65" s="110"/>
      <c r="H65" s="14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</row>
    <row r="66" spans="1:19" ht="17" x14ac:dyDescent="0.25">
      <c r="A66" s="1" t="s">
        <v>81</v>
      </c>
      <c r="B66" s="15">
        <v>33</v>
      </c>
      <c r="C66" s="15">
        <v>69</v>
      </c>
      <c r="D66" s="58">
        <f>SUM(B66:C66)</f>
        <v>102</v>
      </c>
      <c r="E66" s="15">
        <v>99</v>
      </c>
      <c r="F66" s="58">
        <f>SUM(E66)</f>
        <v>99</v>
      </c>
      <c r="G66" s="22">
        <v>38</v>
      </c>
      <c r="H66" s="133">
        <v>81</v>
      </c>
      <c r="I66" s="58">
        <f>SUM(G66:H66)</f>
        <v>119</v>
      </c>
      <c r="J66" s="15">
        <v>88</v>
      </c>
      <c r="K66" s="58">
        <f>SUM(J66:J66)</f>
        <v>88</v>
      </c>
      <c r="L66" s="59">
        <v>87</v>
      </c>
      <c r="M66" s="59">
        <v>96</v>
      </c>
      <c r="N66" s="59">
        <v>245</v>
      </c>
      <c r="O66" s="59">
        <v>72</v>
      </c>
      <c r="P66" s="59">
        <v>59</v>
      </c>
      <c r="Q66" s="59">
        <v>126</v>
      </c>
      <c r="R66" s="58">
        <f>SUM(L66:Q66)</f>
        <v>685</v>
      </c>
      <c r="S66" s="6">
        <f>SUM(D66,F66,I66,K66,R66)</f>
        <v>1093</v>
      </c>
    </row>
    <row r="67" spans="1:19" ht="17" x14ac:dyDescent="0.25">
      <c r="A67" s="1" t="s">
        <v>82</v>
      </c>
      <c r="B67" s="139">
        <v>2</v>
      </c>
      <c r="C67" s="139">
        <v>11</v>
      </c>
      <c r="D67" s="58">
        <f>SUM(B67:C67)</f>
        <v>13</v>
      </c>
      <c r="E67" s="139">
        <v>22</v>
      </c>
      <c r="F67" s="58">
        <f>SUM(E67)</f>
        <v>22</v>
      </c>
      <c r="G67" s="22">
        <v>0</v>
      </c>
      <c r="H67" s="133">
        <v>12</v>
      </c>
      <c r="I67" s="58">
        <f>SUM(G67:H67)</f>
        <v>12</v>
      </c>
      <c r="J67" s="139">
        <v>15</v>
      </c>
      <c r="K67" s="58">
        <f>SUM(J67:J67)</f>
        <v>15</v>
      </c>
      <c r="L67" s="59">
        <v>8</v>
      </c>
      <c r="M67" s="59">
        <v>15</v>
      </c>
      <c r="N67" s="59">
        <v>33</v>
      </c>
      <c r="O67" s="59">
        <v>1</v>
      </c>
      <c r="P67" s="59">
        <v>10</v>
      </c>
      <c r="Q67" s="59">
        <v>23</v>
      </c>
      <c r="R67" s="58">
        <f>SUM(L67:Q67)</f>
        <v>90</v>
      </c>
      <c r="S67" s="6">
        <f>SUM(D67,F67,I67,K67,R67)</f>
        <v>152</v>
      </c>
    </row>
    <row r="68" spans="1:19" ht="17" x14ac:dyDescent="0.25">
      <c r="A68" s="1"/>
      <c r="B68" s="15"/>
      <c r="C68" s="15"/>
      <c r="D68" s="59"/>
      <c r="E68" s="15"/>
      <c r="F68" s="59"/>
      <c r="G68" s="22"/>
      <c r="H68" s="133"/>
      <c r="I68" s="59"/>
      <c r="J68" s="15"/>
      <c r="K68" s="59"/>
      <c r="L68" s="59"/>
      <c r="M68" s="59"/>
      <c r="N68" s="59"/>
      <c r="O68" s="59"/>
      <c r="P68" s="59"/>
      <c r="Q68" s="59"/>
      <c r="R68" s="59"/>
      <c r="S68" s="25"/>
    </row>
    <row r="69" spans="1:19" ht="18" customHeight="1" x14ac:dyDescent="0.15">
      <c r="A69" s="30" t="s">
        <v>39</v>
      </c>
      <c r="B69" s="34"/>
      <c r="C69" s="34"/>
      <c r="D69" s="34"/>
      <c r="E69" s="34"/>
      <c r="F69" s="66"/>
      <c r="G69" s="24"/>
      <c r="H69" s="137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</row>
    <row r="70" spans="1:19" ht="17" x14ac:dyDescent="0.25">
      <c r="A70" s="1" t="s">
        <v>83</v>
      </c>
      <c r="B70" s="15">
        <v>34</v>
      </c>
      <c r="C70" s="15">
        <v>69</v>
      </c>
      <c r="D70" s="58">
        <f>SUM(B70:C70)</f>
        <v>103</v>
      </c>
      <c r="E70" s="15">
        <v>104</v>
      </c>
      <c r="F70" s="58">
        <f>SUM(E70)</f>
        <v>104</v>
      </c>
      <c r="G70" s="22">
        <v>37</v>
      </c>
      <c r="H70" s="133">
        <v>84</v>
      </c>
      <c r="I70" s="58">
        <f>SUM(G70:H70)</f>
        <v>121</v>
      </c>
      <c r="J70" s="15">
        <v>93</v>
      </c>
      <c r="K70" s="58">
        <f>SUM(J70:J70)</f>
        <v>93</v>
      </c>
      <c r="L70" s="59">
        <v>88</v>
      </c>
      <c r="M70" s="59">
        <v>101</v>
      </c>
      <c r="N70" s="59">
        <v>248</v>
      </c>
      <c r="O70" s="59">
        <v>65</v>
      </c>
      <c r="P70" s="59">
        <v>63</v>
      </c>
      <c r="Q70" s="59">
        <v>127</v>
      </c>
      <c r="R70" s="58">
        <f>SUM(L70:Q70)</f>
        <v>692</v>
      </c>
      <c r="S70" s="6">
        <f>SUM(D70,F70,I70,K70,R70)</f>
        <v>1113</v>
      </c>
    </row>
    <row r="71" spans="1:19" ht="17" x14ac:dyDescent="0.25">
      <c r="A71" s="1" t="s">
        <v>84</v>
      </c>
      <c r="B71" s="15">
        <v>2</v>
      </c>
      <c r="C71" s="15">
        <v>4</v>
      </c>
      <c r="D71" s="58">
        <f>SUM(B71:C71)</f>
        <v>6</v>
      </c>
      <c r="E71" s="15">
        <v>13</v>
      </c>
      <c r="F71" s="58">
        <f>SUM(E71)</f>
        <v>13</v>
      </c>
      <c r="G71" s="22">
        <v>1</v>
      </c>
      <c r="H71" s="77">
        <v>6</v>
      </c>
      <c r="I71" s="58">
        <f>SUM(G71:H71)</f>
        <v>7</v>
      </c>
      <c r="J71" s="15">
        <v>8</v>
      </c>
      <c r="K71" s="58">
        <f>SUM(J71)</f>
        <v>8</v>
      </c>
      <c r="L71" s="59">
        <v>6</v>
      </c>
      <c r="M71" s="59">
        <v>6</v>
      </c>
      <c r="N71" s="59">
        <v>18</v>
      </c>
      <c r="O71" s="59">
        <v>8</v>
      </c>
      <c r="P71" s="59">
        <v>3</v>
      </c>
      <c r="Q71" s="59">
        <v>14</v>
      </c>
      <c r="R71" s="58">
        <f>SUM(L71:Q71)</f>
        <v>55</v>
      </c>
      <c r="S71" s="6">
        <f>SUM(R71,K71,I71,F71,D71)</f>
        <v>89</v>
      </c>
    </row>
    <row r="72" spans="1:19" s="10" customFormat="1" ht="17" x14ac:dyDescent="0.25">
      <c r="A72" s="8"/>
      <c r="B72" s="17"/>
      <c r="C72" s="17"/>
      <c r="D72" s="59"/>
      <c r="E72" s="17"/>
      <c r="F72" s="59"/>
      <c r="G72" s="19"/>
      <c r="H72" s="132"/>
      <c r="I72" s="59"/>
      <c r="J72" s="17"/>
      <c r="K72" s="59"/>
      <c r="L72" s="59"/>
      <c r="M72" s="59"/>
      <c r="N72" s="59"/>
      <c r="O72" s="59"/>
      <c r="P72" s="59"/>
      <c r="Q72" s="59"/>
      <c r="R72" s="59"/>
      <c r="S72" s="25"/>
    </row>
    <row r="73" spans="1:19" ht="18" customHeight="1" x14ac:dyDescent="0.15">
      <c r="A73" s="30" t="s">
        <v>40</v>
      </c>
      <c r="B73" s="34"/>
      <c r="C73" s="34"/>
      <c r="D73" s="34"/>
      <c r="E73" s="34"/>
      <c r="F73" s="66"/>
      <c r="G73" s="24"/>
      <c r="H73" s="137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</row>
    <row r="74" spans="1:19" ht="17" x14ac:dyDescent="0.25">
      <c r="A74" s="1" t="s">
        <v>85</v>
      </c>
      <c r="B74" s="15">
        <v>36</v>
      </c>
      <c r="C74" s="15">
        <v>72</v>
      </c>
      <c r="D74" s="58">
        <f>SUM(B74:C74)</f>
        <v>108</v>
      </c>
      <c r="E74" s="15">
        <v>114</v>
      </c>
      <c r="F74" s="58">
        <f>SUM(E74)</f>
        <v>114</v>
      </c>
      <c r="G74" s="22">
        <v>39</v>
      </c>
      <c r="H74" s="133">
        <v>84</v>
      </c>
      <c r="I74" s="58">
        <f>SUM(G74:H74)</f>
        <v>123</v>
      </c>
      <c r="J74" s="15">
        <v>90</v>
      </c>
      <c r="K74" s="58">
        <f>SUM(J74:J74)</f>
        <v>90</v>
      </c>
      <c r="L74" s="59">
        <v>91</v>
      </c>
      <c r="M74" s="59">
        <v>99</v>
      </c>
      <c r="N74" s="59">
        <v>249</v>
      </c>
      <c r="O74" s="59">
        <v>71</v>
      </c>
      <c r="P74" s="59">
        <v>65</v>
      </c>
      <c r="Q74" s="59">
        <v>135</v>
      </c>
      <c r="R74" s="58">
        <f>SUM(L74:Q74)</f>
        <v>710</v>
      </c>
      <c r="S74" s="6">
        <f>SUM(D74,F74,I74,K74,R74)</f>
        <v>1145</v>
      </c>
    </row>
    <row r="75" spans="1:19" ht="17" x14ac:dyDescent="0.25">
      <c r="A75" s="1" t="s">
        <v>86</v>
      </c>
      <c r="B75" s="15">
        <v>1</v>
      </c>
      <c r="C75" s="15">
        <v>4</v>
      </c>
      <c r="D75" s="58">
        <f>SUM(B75:C75)</f>
        <v>5</v>
      </c>
      <c r="E75" s="15">
        <v>10</v>
      </c>
      <c r="F75" s="58">
        <f>SUM(E75)</f>
        <v>10</v>
      </c>
      <c r="G75" s="22">
        <v>0</v>
      </c>
      <c r="H75" s="77">
        <v>7</v>
      </c>
      <c r="I75" s="58">
        <f>SUM(G75:H75)</f>
        <v>7</v>
      </c>
      <c r="J75" s="15">
        <v>13</v>
      </c>
      <c r="K75" s="58">
        <f>SUM(J75)</f>
        <v>13</v>
      </c>
      <c r="L75" s="59">
        <v>6</v>
      </c>
      <c r="M75" s="59">
        <v>8</v>
      </c>
      <c r="N75" s="59">
        <v>21</v>
      </c>
      <c r="O75" s="59">
        <v>4</v>
      </c>
      <c r="P75" s="59">
        <v>4</v>
      </c>
      <c r="Q75" s="59">
        <v>17</v>
      </c>
      <c r="R75" s="58">
        <f>SUM(L75:Q75)</f>
        <v>60</v>
      </c>
      <c r="S75" s="6">
        <f>SUM(R75,K75,I75,F75,D75)</f>
        <v>95</v>
      </c>
    </row>
    <row r="76" spans="1:19" ht="17" x14ac:dyDescent="0.25">
      <c r="A76" s="1"/>
      <c r="B76" s="15"/>
      <c r="C76" s="15"/>
      <c r="D76" s="59"/>
      <c r="E76" s="15"/>
      <c r="F76" s="59"/>
      <c r="G76" s="22"/>
      <c r="H76" s="133"/>
      <c r="I76" s="59"/>
      <c r="J76" s="15"/>
      <c r="K76" s="59"/>
      <c r="L76" s="59"/>
      <c r="M76" s="59"/>
      <c r="N76" s="59"/>
      <c r="O76" s="59"/>
      <c r="P76" s="59"/>
      <c r="Q76" s="59"/>
      <c r="R76" s="59"/>
      <c r="S76" s="25"/>
    </row>
    <row r="77" spans="1:19" ht="0.75" customHeight="1" x14ac:dyDescent="0.25">
      <c r="A77" s="40"/>
      <c r="B77" s="41"/>
      <c r="C77" s="41"/>
      <c r="D77" s="64"/>
      <c r="E77" s="41"/>
      <c r="F77" s="64"/>
      <c r="G77" s="42"/>
      <c r="H77" s="141"/>
      <c r="I77" s="64"/>
      <c r="J77" s="41"/>
      <c r="K77" s="64"/>
      <c r="L77" s="84"/>
      <c r="M77" s="84"/>
      <c r="N77" s="84"/>
      <c r="O77" s="84"/>
      <c r="P77" s="84"/>
      <c r="Q77" s="84"/>
      <c r="R77" s="64"/>
      <c r="S77" s="26"/>
    </row>
    <row r="78" spans="1:19" ht="18" customHeight="1" x14ac:dyDescent="0.15">
      <c r="A78" s="37" t="s">
        <v>20</v>
      </c>
      <c r="B78" s="38"/>
      <c r="C78" s="38" t="s">
        <v>0</v>
      </c>
      <c r="D78" s="38"/>
      <c r="E78" s="38"/>
      <c r="F78" s="67"/>
      <c r="G78" s="39"/>
      <c r="H78" s="142"/>
      <c r="I78" s="38"/>
      <c r="J78" s="38"/>
      <c r="K78" s="38"/>
      <c r="L78" s="38"/>
      <c r="M78" s="38"/>
      <c r="N78" s="38"/>
      <c r="O78" s="38"/>
      <c r="P78" s="38"/>
      <c r="Q78" s="38"/>
      <c r="R78" s="55"/>
      <c r="S78" s="34"/>
    </row>
    <row r="79" spans="1:19" ht="17" x14ac:dyDescent="0.25">
      <c r="A79" s="2" t="s">
        <v>87</v>
      </c>
      <c r="B79" s="14">
        <v>34</v>
      </c>
      <c r="C79" s="14">
        <v>69</v>
      </c>
      <c r="D79" s="68">
        <f>SUM(B79:C79)</f>
        <v>103</v>
      </c>
      <c r="E79" s="14">
        <v>109</v>
      </c>
      <c r="F79" s="68">
        <f>SUM(E79)</f>
        <v>109</v>
      </c>
      <c r="G79" s="21">
        <v>38</v>
      </c>
      <c r="H79" s="92">
        <v>84</v>
      </c>
      <c r="I79" s="68">
        <f>SUM(G79:H79)</f>
        <v>122</v>
      </c>
      <c r="J79" s="14">
        <v>91</v>
      </c>
      <c r="K79" s="68">
        <f>SUM(J79)</f>
        <v>91</v>
      </c>
      <c r="L79" s="85">
        <v>92</v>
      </c>
      <c r="M79" s="85">
        <v>100</v>
      </c>
      <c r="N79" s="85">
        <v>248</v>
      </c>
      <c r="O79" s="85">
        <v>72</v>
      </c>
      <c r="P79" s="85">
        <v>62</v>
      </c>
      <c r="Q79" s="85">
        <v>133</v>
      </c>
      <c r="R79" s="118">
        <f>SUM(L79:Q79)</f>
        <v>707</v>
      </c>
      <c r="S79" s="6">
        <f>SUM(R79,K79,I79,F79,D79)</f>
        <v>1132</v>
      </c>
    </row>
    <row r="80" spans="1:19" ht="17" x14ac:dyDescent="0.25">
      <c r="A80" s="1" t="s">
        <v>88</v>
      </c>
      <c r="B80" s="15">
        <v>2</v>
      </c>
      <c r="C80" s="15">
        <v>8</v>
      </c>
      <c r="D80" s="58">
        <f>SUM(B80:C80)</f>
        <v>10</v>
      </c>
      <c r="E80" s="15">
        <v>19</v>
      </c>
      <c r="F80" s="58">
        <f>SUM(E80)</f>
        <v>19</v>
      </c>
      <c r="G80" s="22">
        <v>0</v>
      </c>
      <c r="H80" s="133">
        <v>11</v>
      </c>
      <c r="I80" s="58">
        <f>SUM(G80:H80)</f>
        <v>11</v>
      </c>
      <c r="J80" s="15">
        <v>15</v>
      </c>
      <c r="K80" s="58">
        <f>SUM(J80:J80)</f>
        <v>15</v>
      </c>
      <c r="L80" s="59">
        <v>4</v>
      </c>
      <c r="M80" s="59">
        <v>12</v>
      </c>
      <c r="N80" s="59">
        <v>32</v>
      </c>
      <c r="O80" s="59">
        <v>2</v>
      </c>
      <c r="P80" s="59">
        <v>7</v>
      </c>
      <c r="Q80" s="59">
        <v>20</v>
      </c>
      <c r="R80" s="58">
        <f>SUM(L80:Q80)</f>
        <v>77</v>
      </c>
      <c r="S80" s="6">
        <f>SUM(D80,F80,I80,K80,R80)</f>
        <v>132</v>
      </c>
    </row>
    <row r="81" spans="1:19" s="40" customFormat="1" ht="4.5" hidden="1" customHeight="1" x14ac:dyDescent="0.25">
      <c r="A81" s="1"/>
      <c r="B81" s="15"/>
      <c r="C81" s="15"/>
      <c r="D81" s="58"/>
      <c r="E81" s="15"/>
      <c r="F81" s="58"/>
      <c r="G81" s="22"/>
      <c r="H81" s="133"/>
      <c r="I81" s="58"/>
      <c r="J81" s="15"/>
      <c r="K81" s="58"/>
      <c r="L81" s="59"/>
      <c r="M81" s="59"/>
      <c r="N81" s="59"/>
      <c r="O81" s="59"/>
      <c r="P81" s="59"/>
      <c r="Q81" s="59"/>
      <c r="R81" s="58"/>
      <c r="S81" s="6"/>
    </row>
    <row r="82" spans="1:19" ht="18.75" hidden="1" customHeight="1" x14ac:dyDescent="0.25">
      <c r="A82" s="2"/>
      <c r="B82" s="14"/>
      <c r="C82" s="14"/>
      <c r="D82" s="68"/>
      <c r="E82" s="14"/>
      <c r="F82" s="68"/>
      <c r="G82" s="21"/>
      <c r="H82" s="140"/>
      <c r="I82" s="68"/>
      <c r="J82" s="14"/>
      <c r="K82" s="68"/>
      <c r="L82" s="85"/>
      <c r="M82" s="85"/>
      <c r="N82" s="85"/>
      <c r="O82" s="85"/>
      <c r="P82" s="85"/>
      <c r="Q82" s="85"/>
      <c r="R82" s="68"/>
      <c r="S82" s="49"/>
    </row>
    <row r="83" spans="1:19" ht="18.75" hidden="1" customHeight="1" x14ac:dyDescent="0.25">
      <c r="A83" s="1"/>
      <c r="B83" s="15"/>
      <c r="C83" s="15"/>
      <c r="D83" s="61"/>
      <c r="E83" s="15"/>
      <c r="F83" s="61"/>
      <c r="G83" s="22"/>
      <c r="H83" s="133"/>
      <c r="I83" s="61"/>
      <c r="J83" s="15"/>
      <c r="K83" s="61"/>
      <c r="L83" s="59"/>
      <c r="M83" s="59"/>
      <c r="N83" s="59"/>
      <c r="O83" s="59"/>
      <c r="P83" s="59"/>
      <c r="Q83" s="59"/>
      <c r="R83" s="61"/>
      <c r="S83" s="26"/>
    </row>
    <row r="84" spans="1:19" ht="17" x14ac:dyDescent="0.25">
      <c r="A84" s="1"/>
      <c r="B84" s="15"/>
      <c r="C84" s="15"/>
      <c r="D84" s="61"/>
      <c r="E84" s="15"/>
      <c r="F84" s="61"/>
      <c r="G84" s="22"/>
      <c r="H84" s="133"/>
      <c r="I84" s="61"/>
      <c r="J84" s="15"/>
      <c r="K84" s="61"/>
      <c r="L84" s="59"/>
      <c r="M84" s="59"/>
      <c r="N84" s="59"/>
      <c r="O84" s="59"/>
      <c r="P84" s="59"/>
      <c r="Q84" s="59"/>
      <c r="R84" s="61"/>
      <c r="S84" s="26"/>
    </row>
    <row r="85" spans="1:19" ht="18" customHeight="1" x14ac:dyDescent="0.15">
      <c r="A85" s="119" t="s">
        <v>41</v>
      </c>
      <c r="B85" s="120"/>
      <c r="C85" s="120"/>
      <c r="D85" s="120"/>
      <c r="E85" s="120"/>
      <c r="F85" s="121"/>
      <c r="G85" s="122"/>
      <c r="H85" s="123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</row>
    <row r="86" spans="1:19" ht="18" customHeight="1" x14ac:dyDescent="0.25">
      <c r="A86" s="1" t="s">
        <v>89</v>
      </c>
      <c r="B86" s="15">
        <v>35</v>
      </c>
      <c r="C86" s="15">
        <v>70</v>
      </c>
      <c r="D86" s="58">
        <f>SUM(B86:C86)</f>
        <v>105</v>
      </c>
      <c r="E86" s="15">
        <v>103</v>
      </c>
      <c r="F86" s="58">
        <f>SUM(E86)</f>
        <v>103</v>
      </c>
      <c r="G86" s="139">
        <v>37</v>
      </c>
      <c r="H86" s="139">
        <v>83</v>
      </c>
      <c r="I86" s="58">
        <f>SUM(G86:H86)</f>
        <v>120</v>
      </c>
      <c r="J86" s="139">
        <v>93</v>
      </c>
      <c r="K86" s="58">
        <f>SUM(J86)</f>
        <v>93</v>
      </c>
      <c r="L86" s="61">
        <v>89</v>
      </c>
      <c r="M86" s="61">
        <v>103</v>
      </c>
      <c r="N86" s="61">
        <v>256</v>
      </c>
      <c r="O86" s="61">
        <v>72</v>
      </c>
      <c r="P86" s="61">
        <v>61</v>
      </c>
      <c r="Q86" s="61">
        <v>124</v>
      </c>
      <c r="R86" s="58">
        <f>SUM(L86:Q86)</f>
        <v>705</v>
      </c>
      <c r="S86" s="117">
        <f>SUM(R86,K86,I86,F86,D86)</f>
        <v>1126</v>
      </c>
    </row>
    <row r="87" spans="1:19" ht="18" customHeight="1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ht="18" customHeight="1" x14ac:dyDescent="0.15">
      <c r="A88" s="37" t="s">
        <v>42</v>
      </c>
      <c r="B88" s="38"/>
      <c r="C88" s="38"/>
      <c r="D88" s="38"/>
      <c r="E88" s="38"/>
      <c r="F88" s="67"/>
      <c r="G88" s="39"/>
      <c r="H88" s="142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</row>
    <row r="89" spans="1:19" ht="17" x14ac:dyDescent="0.25">
      <c r="A89" s="1" t="s">
        <v>90</v>
      </c>
      <c r="B89" s="15">
        <v>35</v>
      </c>
      <c r="C89" s="15">
        <v>70</v>
      </c>
      <c r="D89" s="58">
        <f>SUM(B89:C89)</f>
        <v>105</v>
      </c>
      <c r="E89" s="15">
        <v>104</v>
      </c>
      <c r="F89" s="58">
        <f>SUM(E89)</f>
        <v>104</v>
      </c>
      <c r="G89" s="22">
        <v>38</v>
      </c>
      <c r="H89" s="133">
        <v>82</v>
      </c>
      <c r="I89" s="58">
        <f>SUM(G89:H89)</f>
        <v>120</v>
      </c>
      <c r="J89" s="15">
        <v>90</v>
      </c>
      <c r="K89" s="58">
        <f>SUM(J89:J89)</f>
        <v>90</v>
      </c>
      <c r="L89" s="59">
        <v>86</v>
      </c>
      <c r="M89" s="59">
        <v>104</v>
      </c>
      <c r="N89" s="59">
        <v>260</v>
      </c>
      <c r="O89" s="59">
        <v>70</v>
      </c>
      <c r="P89" s="59">
        <v>63</v>
      </c>
      <c r="Q89" s="59">
        <v>123</v>
      </c>
      <c r="R89" s="58">
        <f>SUM(L89:Q89)</f>
        <v>706</v>
      </c>
      <c r="S89" s="6">
        <f>SUM(D89,F89,I89,K89,R89)</f>
        <v>1125</v>
      </c>
    </row>
    <row r="90" spans="1:19" ht="17" x14ac:dyDescent="0.25">
      <c r="A90" s="1"/>
      <c r="B90" s="15"/>
      <c r="C90" s="15"/>
      <c r="D90" s="59"/>
      <c r="E90" s="15"/>
      <c r="F90" s="59"/>
      <c r="G90" s="22"/>
      <c r="H90" s="133"/>
      <c r="I90" s="59"/>
      <c r="J90" s="15"/>
      <c r="K90" s="59"/>
      <c r="L90" s="59"/>
      <c r="M90" s="59"/>
      <c r="N90" s="59"/>
      <c r="O90" s="59"/>
      <c r="P90" s="59"/>
      <c r="Q90" s="59"/>
      <c r="R90" s="59"/>
      <c r="S90" s="25"/>
    </row>
    <row r="91" spans="1:19" s="40" customFormat="1" ht="18.75" hidden="1" customHeight="1" x14ac:dyDescent="0.25">
      <c r="A91" s="1"/>
      <c r="B91" s="15"/>
      <c r="C91" s="15"/>
      <c r="D91" s="61"/>
      <c r="E91" s="15"/>
      <c r="F91" s="61"/>
      <c r="G91" s="22"/>
      <c r="H91" s="133"/>
      <c r="I91" s="61"/>
      <c r="J91" s="15"/>
      <c r="K91" s="61"/>
      <c r="L91" s="59"/>
      <c r="M91" s="59"/>
      <c r="N91" s="59"/>
      <c r="O91" s="59"/>
      <c r="P91" s="59"/>
      <c r="Q91" s="59"/>
      <c r="R91" s="61"/>
      <c r="S91" s="26"/>
    </row>
    <row r="92" spans="1:19" ht="18" customHeight="1" x14ac:dyDescent="0.15">
      <c r="A92" s="37" t="s">
        <v>43</v>
      </c>
      <c r="B92" s="38"/>
      <c r="C92" s="38"/>
      <c r="D92" s="38"/>
      <c r="E92" s="38"/>
      <c r="F92" s="67"/>
      <c r="G92" s="39"/>
      <c r="H92" s="55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</row>
    <row r="93" spans="1:19" customFormat="1" ht="18" customHeight="1" x14ac:dyDescent="0.25">
      <c r="A93" s="8" t="s">
        <v>91</v>
      </c>
      <c r="B93" s="130">
        <v>36</v>
      </c>
      <c r="C93" s="130">
        <v>72</v>
      </c>
      <c r="D93" s="58">
        <f>SUM(B93:C93)</f>
        <v>108</v>
      </c>
      <c r="E93" s="130">
        <v>111</v>
      </c>
      <c r="F93" s="58">
        <f>SUM(E93)</f>
        <v>111</v>
      </c>
      <c r="G93" s="130">
        <v>38</v>
      </c>
      <c r="H93" s="130">
        <v>83</v>
      </c>
      <c r="I93" s="58">
        <f>SUM(G93:H93)</f>
        <v>121</v>
      </c>
      <c r="J93" s="130">
        <v>94</v>
      </c>
      <c r="K93" s="58">
        <f>SUM(J93)</f>
        <v>94</v>
      </c>
      <c r="L93" s="61">
        <v>91</v>
      </c>
      <c r="M93" s="61">
        <v>103</v>
      </c>
      <c r="N93" s="61">
        <v>261</v>
      </c>
      <c r="O93" s="61">
        <v>71</v>
      </c>
      <c r="P93" s="61">
        <v>64</v>
      </c>
      <c r="Q93" s="61">
        <v>132</v>
      </c>
      <c r="R93" s="58">
        <f>SUM(L93:Q93)</f>
        <v>722</v>
      </c>
      <c r="S93" s="117">
        <f>SUM(R93,K93,I93,F93,D93)</f>
        <v>1156</v>
      </c>
    </row>
    <row r="94" spans="1:19" customFormat="1" ht="18" customHeight="1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ht="18" customHeight="1" x14ac:dyDescent="0.15">
      <c r="A95" s="37" t="s">
        <v>21</v>
      </c>
      <c r="B95" s="38"/>
      <c r="C95" s="38"/>
      <c r="D95" s="38"/>
      <c r="E95" s="38"/>
      <c r="F95" s="67"/>
      <c r="G95" s="39"/>
      <c r="H95" s="142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</row>
    <row r="96" spans="1:19" ht="17" x14ac:dyDescent="0.25">
      <c r="A96" s="1" t="s">
        <v>92</v>
      </c>
      <c r="B96" s="15">
        <v>12</v>
      </c>
      <c r="C96" s="15">
        <v>51</v>
      </c>
      <c r="D96" s="58">
        <f>SUM(B96:C96)</f>
        <v>63</v>
      </c>
      <c r="E96" s="15">
        <v>45</v>
      </c>
      <c r="F96" s="58">
        <f>SUM(E96)</f>
        <v>45</v>
      </c>
      <c r="G96" s="22">
        <v>20</v>
      </c>
      <c r="H96" s="133">
        <v>56</v>
      </c>
      <c r="I96" s="58">
        <f>SUM(G96:H96)</f>
        <v>76</v>
      </c>
      <c r="J96" s="15">
        <v>37</v>
      </c>
      <c r="K96" s="58">
        <f>SUM(J96:J96)</f>
        <v>37</v>
      </c>
      <c r="L96" s="59">
        <v>38</v>
      </c>
      <c r="M96" s="59">
        <v>62</v>
      </c>
      <c r="N96" s="59">
        <v>98</v>
      </c>
      <c r="O96" s="59">
        <v>38</v>
      </c>
      <c r="P96" s="59">
        <v>38</v>
      </c>
      <c r="Q96" s="59">
        <v>58</v>
      </c>
      <c r="R96" s="58">
        <f>SUM(L96:Q96)</f>
        <v>332</v>
      </c>
      <c r="S96" s="6">
        <f>SUM(D96,F96,I96,K96,R96)</f>
        <v>553</v>
      </c>
    </row>
    <row r="97" spans="1:233" ht="17" x14ac:dyDescent="0.25">
      <c r="A97" s="1" t="s">
        <v>93</v>
      </c>
      <c r="B97" s="139">
        <v>25</v>
      </c>
      <c r="C97" s="139">
        <v>26</v>
      </c>
      <c r="D97" s="58">
        <f>SUM(B97:C97)</f>
        <v>51</v>
      </c>
      <c r="E97" s="139">
        <v>81</v>
      </c>
      <c r="F97" s="58">
        <f>SUM(E97)</f>
        <v>81</v>
      </c>
      <c r="G97" s="22">
        <v>19</v>
      </c>
      <c r="H97" s="133">
        <v>37</v>
      </c>
      <c r="I97" s="58">
        <f>SUM(G97:H97)</f>
        <v>56</v>
      </c>
      <c r="J97" s="139">
        <v>71</v>
      </c>
      <c r="K97" s="58">
        <f>SUM(J97:J97)</f>
        <v>71</v>
      </c>
      <c r="L97" s="59">
        <v>57</v>
      </c>
      <c r="M97" s="59">
        <v>51</v>
      </c>
      <c r="N97" s="59">
        <v>185</v>
      </c>
      <c r="O97" s="59">
        <v>36</v>
      </c>
      <c r="P97" s="59">
        <v>32</v>
      </c>
      <c r="Q97" s="59">
        <v>97</v>
      </c>
      <c r="R97" s="58">
        <f>SUM(L97:Q97)</f>
        <v>458</v>
      </c>
      <c r="S97" s="6">
        <f>SUM(D97,F97,I97,K97,R97)</f>
        <v>717</v>
      </c>
    </row>
    <row r="98" spans="1:233" s="10" customFormat="1" ht="17" x14ac:dyDescent="0.25">
      <c r="A98" s="8"/>
      <c r="B98" s="17"/>
      <c r="C98" s="17"/>
      <c r="D98" s="59"/>
      <c r="E98" s="17"/>
      <c r="F98" s="59"/>
      <c r="G98" s="19"/>
      <c r="H98" s="132"/>
      <c r="I98" s="59"/>
      <c r="J98" s="17"/>
      <c r="K98" s="59"/>
      <c r="L98" s="59"/>
      <c r="M98" s="59"/>
      <c r="N98" s="59"/>
      <c r="O98" s="59"/>
      <c r="P98" s="59"/>
      <c r="Q98" s="59"/>
      <c r="R98" s="59"/>
      <c r="S98" s="25"/>
    </row>
    <row r="99" spans="1:233" ht="0.75" customHeight="1" x14ac:dyDescent="0.25">
      <c r="A99" s="1"/>
      <c r="B99" s="15"/>
      <c r="C99" s="15"/>
      <c r="D99" s="61"/>
      <c r="E99" s="15"/>
      <c r="F99" s="61"/>
      <c r="G99" s="22"/>
      <c r="H99" s="133"/>
      <c r="I99" s="61"/>
      <c r="J99" s="15"/>
      <c r="K99" s="61"/>
      <c r="L99" s="59"/>
      <c r="M99" s="59"/>
      <c r="N99" s="59"/>
      <c r="O99" s="59"/>
      <c r="P99" s="59"/>
      <c r="Q99" s="59"/>
      <c r="R99" s="61"/>
      <c r="S99" s="26"/>
    </row>
    <row r="100" spans="1:233" ht="18" customHeight="1" x14ac:dyDescent="0.2">
      <c r="A100" s="37" t="s">
        <v>15</v>
      </c>
      <c r="B100" s="47"/>
      <c r="C100" s="47"/>
      <c r="D100" s="47"/>
      <c r="E100" s="47"/>
      <c r="F100" s="65"/>
      <c r="G100" s="48"/>
      <c r="H100" s="143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32"/>
    </row>
    <row r="101" spans="1:233" ht="17" x14ac:dyDescent="0.25">
      <c r="A101" s="1" t="s">
        <v>94</v>
      </c>
      <c r="B101" s="15">
        <v>33</v>
      </c>
      <c r="C101" s="15">
        <v>70</v>
      </c>
      <c r="D101" s="58">
        <f>SUM(B101:C101)</f>
        <v>103</v>
      </c>
      <c r="E101" s="15">
        <v>109</v>
      </c>
      <c r="F101" s="58">
        <f>SUM(E101)</f>
        <v>109</v>
      </c>
      <c r="G101" s="22">
        <v>38</v>
      </c>
      <c r="H101" s="133">
        <v>85</v>
      </c>
      <c r="I101" s="58">
        <f>SUM(G101:H101)</f>
        <v>123</v>
      </c>
      <c r="J101" s="15">
        <v>93</v>
      </c>
      <c r="K101" s="58">
        <f>SUM(J101:J101)</f>
        <v>93</v>
      </c>
      <c r="L101" s="59">
        <v>92</v>
      </c>
      <c r="M101" s="59">
        <v>105</v>
      </c>
      <c r="N101" s="59">
        <v>265</v>
      </c>
      <c r="O101" s="59">
        <v>72</v>
      </c>
      <c r="P101" s="59">
        <v>62</v>
      </c>
      <c r="Q101" s="59">
        <v>134</v>
      </c>
      <c r="R101" s="58">
        <f>SUM(L101:Q101)</f>
        <v>730</v>
      </c>
      <c r="S101" s="6">
        <f>SUM(D101,F101,I101,K101,R101)</f>
        <v>1158</v>
      </c>
    </row>
    <row r="102" spans="1:233" ht="17" x14ac:dyDescent="0.25">
      <c r="A102" s="1"/>
      <c r="B102" s="15"/>
      <c r="C102" s="15"/>
      <c r="D102" s="59" t="s">
        <v>0</v>
      </c>
      <c r="E102" s="15"/>
      <c r="F102" s="59" t="s">
        <v>0</v>
      </c>
      <c r="G102" s="22"/>
      <c r="H102" s="133"/>
      <c r="I102" s="61"/>
      <c r="J102" s="15"/>
      <c r="K102" s="61"/>
      <c r="L102" s="59"/>
      <c r="M102" s="59"/>
      <c r="N102" s="59"/>
      <c r="O102" s="59"/>
      <c r="P102" s="59"/>
      <c r="Q102" s="59"/>
      <c r="R102" s="61"/>
      <c r="S102" s="26"/>
    </row>
    <row r="103" spans="1:233" s="91" customFormat="1" ht="17" x14ac:dyDescent="0.25">
      <c r="A103" s="78" t="s">
        <v>24</v>
      </c>
      <c r="B103" s="18"/>
      <c r="C103" s="18"/>
      <c r="D103" s="60" t="s">
        <v>23</v>
      </c>
      <c r="E103" s="18"/>
      <c r="F103" s="60" t="s">
        <v>0</v>
      </c>
      <c r="G103" s="13"/>
      <c r="H103" s="89"/>
      <c r="I103" s="60"/>
      <c r="J103" s="18"/>
      <c r="K103" s="60"/>
      <c r="L103" s="60"/>
      <c r="M103" s="60"/>
      <c r="N103" s="60"/>
      <c r="O103" s="60"/>
      <c r="P103" s="60"/>
      <c r="Q103" s="60"/>
      <c r="R103" s="60" t="s">
        <v>0</v>
      </c>
      <c r="S103" s="9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0"/>
      <c r="HA103" s="10"/>
      <c r="HB103" s="10"/>
      <c r="HC103" s="10"/>
      <c r="HD103" s="10"/>
      <c r="HE103" s="10"/>
      <c r="HF103" s="10"/>
      <c r="HG103" s="10"/>
      <c r="HH103" s="10"/>
      <c r="HI103" s="10"/>
      <c r="HJ103" s="10"/>
      <c r="HK103" s="10"/>
      <c r="HL103" s="10"/>
      <c r="HM103" s="10"/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10"/>
    </row>
    <row r="104" spans="1:233" ht="17" x14ac:dyDescent="0.25">
      <c r="A104" s="1" t="s">
        <v>96</v>
      </c>
      <c r="B104" s="80"/>
      <c r="C104" s="80"/>
      <c r="D104" s="81" t="s">
        <v>23</v>
      </c>
      <c r="E104" s="15">
        <v>110</v>
      </c>
      <c r="F104" s="58">
        <f>SUM(E104)</f>
        <v>110</v>
      </c>
      <c r="G104" s="124"/>
      <c r="H104" s="125"/>
      <c r="I104" s="126"/>
      <c r="J104" s="127"/>
      <c r="K104" s="126"/>
      <c r="L104" s="126"/>
      <c r="M104" s="126"/>
      <c r="N104" s="59">
        <v>262</v>
      </c>
      <c r="O104" s="126"/>
      <c r="P104" s="126"/>
      <c r="Q104" s="126"/>
      <c r="R104" s="58">
        <f>SUM(N104)</f>
        <v>262</v>
      </c>
      <c r="S104" s="6">
        <f>SUM(E104+N104)</f>
        <v>372</v>
      </c>
    </row>
    <row r="105" spans="1:233" ht="17" x14ac:dyDescent="0.25">
      <c r="A105" s="1"/>
      <c r="B105" s="15"/>
      <c r="C105" s="15"/>
      <c r="D105" s="59" t="s">
        <v>0</v>
      </c>
      <c r="E105" s="15"/>
      <c r="F105" s="59" t="s">
        <v>0</v>
      </c>
      <c r="G105" s="22"/>
      <c r="H105" s="77"/>
      <c r="I105" s="61"/>
      <c r="J105" s="15"/>
      <c r="K105" s="61"/>
      <c r="L105" s="59"/>
      <c r="M105" s="59"/>
      <c r="N105" s="59"/>
      <c r="O105" s="59"/>
      <c r="P105" s="59"/>
      <c r="Q105" s="59"/>
      <c r="R105" s="61"/>
      <c r="S105" s="26"/>
    </row>
    <row r="106" spans="1:233" ht="17" x14ac:dyDescent="0.25">
      <c r="A106" s="78" t="s">
        <v>25</v>
      </c>
      <c r="B106" s="18"/>
      <c r="C106" s="18"/>
      <c r="D106" s="60" t="s">
        <v>0</v>
      </c>
      <c r="E106" s="18"/>
      <c r="F106" s="60" t="s">
        <v>0</v>
      </c>
      <c r="G106" s="13"/>
      <c r="H106" s="89"/>
      <c r="I106" s="60"/>
      <c r="J106" s="18"/>
      <c r="K106" s="60"/>
      <c r="L106" s="60"/>
      <c r="M106" s="60"/>
      <c r="N106" s="60"/>
      <c r="O106" s="60"/>
      <c r="P106" s="60"/>
      <c r="Q106" s="60"/>
      <c r="R106" s="60"/>
      <c r="S106" s="90"/>
    </row>
    <row r="107" spans="1:233" ht="17" x14ac:dyDescent="0.25">
      <c r="A107" s="1" t="s">
        <v>98</v>
      </c>
      <c r="B107" s="80"/>
      <c r="C107" s="80"/>
      <c r="D107" s="81" t="s">
        <v>23</v>
      </c>
      <c r="E107" s="80"/>
      <c r="F107" s="81" t="s">
        <v>0</v>
      </c>
      <c r="G107" s="82"/>
      <c r="H107" s="83"/>
      <c r="I107" s="81"/>
      <c r="J107" s="15">
        <v>92</v>
      </c>
      <c r="K107" s="58">
        <f>SUM(J107)</f>
        <v>92</v>
      </c>
      <c r="L107" s="126"/>
      <c r="M107" s="126"/>
      <c r="N107" s="126"/>
      <c r="O107" s="126"/>
      <c r="P107" s="126"/>
      <c r="Q107" s="59">
        <v>128</v>
      </c>
      <c r="R107" s="58">
        <f>SUM(Q107)</f>
        <v>128</v>
      </c>
      <c r="S107" s="6">
        <f>SUM(R107,K107)</f>
        <v>220</v>
      </c>
    </row>
    <row r="108" spans="1:233" ht="17" x14ac:dyDescent="0.25">
      <c r="A108" s="1"/>
      <c r="B108" s="15"/>
      <c r="C108" s="15"/>
      <c r="D108" s="59" t="s">
        <v>0</v>
      </c>
      <c r="E108" s="15"/>
      <c r="F108" s="59" t="s">
        <v>0</v>
      </c>
      <c r="G108" s="22"/>
      <c r="H108" s="77"/>
      <c r="I108" s="61"/>
      <c r="J108" s="15"/>
      <c r="K108" s="61"/>
      <c r="L108" s="59"/>
      <c r="M108" s="59"/>
      <c r="N108" s="59"/>
      <c r="O108" s="59"/>
      <c r="P108" s="59"/>
      <c r="Q108" s="59"/>
      <c r="R108" s="61"/>
      <c r="S108" s="26"/>
    </row>
    <row r="109" spans="1:233" ht="17" x14ac:dyDescent="0.25">
      <c r="A109" s="79" t="s">
        <v>44</v>
      </c>
      <c r="B109" s="18"/>
      <c r="C109" s="18"/>
      <c r="D109" s="60"/>
      <c r="E109" s="18"/>
      <c r="F109" s="60"/>
      <c r="G109" s="13"/>
      <c r="H109" s="89"/>
      <c r="I109" s="60"/>
      <c r="J109" s="18"/>
      <c r="K109" s="60"/>
      <c r="L109" s="60"/>
      <c r="M109" s="60"/>
      <c r="N109" s="60"/>
      <c r="O109" s="60"/>
      <c r="P109" s="60"/>
      <c r="Q109" s="60"/>
      <c r="R109" s="60"/>
      <c r="S109" s="90"/>
    </row>
    <row r="110" spans="1:233" customFormat="1" ht="18.75" customHeight="1" x14ac:dyDescent="0.25">
      <c r="A110" s="8" t="s">
        <v>95</v>
      </c>
      <c r="B110" s="139">
        <v>35</v>
      </c>
      <c r="C110" s="139">
        <v>70</v>
      </c>
      <c r="D110" s="58">
        <f>SUM(B110:C110)</f>
        <v>105</v>
      </c>
      <c r="E110" s="139">
        <v>109</v>
      </c>
      <c r="F110" s="58">
        <f>SUM(E110)</f>
        <v>109</v>
      </c>
      <c r="G110" s="128"/>
      <c r="H110" s="128"/>
      <c r="I110" s="128"/>
      <c r="J110" s="128"/>
      <c r="K110" s="128"/>
      <c r="L110" s="61">
        <v>90</v>
      </c>
      <c r="M110" s="61">
        <v>105</v>
      </c>
      <c r="N110" s="61">
        <v>267</v>
      </c>
      <c r="O110" s="128"/>
      <c r="P110" s="128"/>
      <c r="Q110" s="128"/>
      <c r="R110" s="58">
        <f>SUM(L110:N110)</f>
        <v>462</v>
      </c>
      <c r="S110" s="117">
        <f>SUM(R110,F110,D110)</f>
        <v>676</v>
      </c>
    </row>
    <row r="111" spans="1:233" customFormat="1" ht="18.75" customHeight="1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233" ht="17" x14ac:dyDescent="0.25">
      <c r="A112" s="79" t="s">
        <v>26</v>
      </c>
      <c r="B112" s="18"/>
      <c r="C112" s="18"/>
      <c r="D112" s="60" t="s">
        <v>0</v>
      </c>
      <c r="E112" s="18"/>
      <c r="F112" s="60" t="s">
        <v>0</v>
      </c>
      <c r="G112" s="13"/>
      <c r="H112" s="89"/>
      <c r="I112" s="60"/>
      <c r="J112" s="18"/>
      <c r="K112" s="60"/>
      <c r="L112" s="60"/>
      <c r="M112" s="60"/>
      <c r="N112" s="60"/>
      <c r="O112" s="60"/>
      <c r="P112" s="60"/>
      <c r="Q112" s="60"/>
      <c r="R112" s="60"/>
      <c r="S112" s="90"/>
    </row>
    <row r="113" spans="1:21" ht="17" x14ac:dyDescent="0.25">
      <c r="A113" s="1" t="s">
        <v>97</v>
      </c>
      <c r="B113" s="80"/>
      <c r="C113" s="80"/>
      <c r="D113" s="81" t="s">
        <v>0</v>
      </c>
      <c r="E113" s="80"/>
      <c r="F113" s="81" t="s">
        <v>23</v>
      </c>
      <c r="G113" s="22">
        <v>38</v>
      </c>
      <c r="H113" s="77">
        <v>85</v>
      </c>
      <c r="I113" s="58">
        <f>SUM(G113:H113)</f>
        <v>123</v>
      </c>
      <c r="J113" s="15">
        <v>95</v>
      </c>
      <c r="K113" s="58">
        <f>SUM(J113)</f>
        <v>95</v>
      </c>
      <c r="L113" s="126"/>
      <c r="M113" s="126"/>
      <c r="N113" s="126"/>
      <c r="O113" s="59">
        <v>70</v>
      </c>
      <c r="P113" s="59">
        <v>60</v>
      </c>
      <c r="Q113" s="59">
        <v>130</v>
      </c>
      <c r="R113" s="58">
        <f>SUM(O113:Q113)</f>
        <v>260</v>
      </c>
      <c r="S113" s="6">
        <f>SUM(R113,K113,I113)</f>
        <v>478</v>
      </c>
    </row>
    <row r="114" spans="1:21" ht="17" x14ac:dyDescent="0.25">
      <c r="A114" s="1"/>
      <c r="B114" s="15"/>
      <c r="C114" s="15"/>
      <c r="D114" s="61"/>
      <c r="E114" s="15"/>
      <c r="F114" s="61"/>
      <c r="G114" s="22"/>
      <c r="H114" s="77"/>
      <c r="I114" s="61"/>
      <c r="J114" s="15"/>
      <c r="K114" s="61"/>
      <c r="L114" s="59"/>
      <c r="M114" s="59"/>
      <c r="N114" s="59"/>
      <c r="O114" s="59"/>
      <c r="P114" s="59"/>
      <c r="Q114" s="59"/>
      <c r="R114" s="61"/>
      <c r="S114" s="26"/>
    </row>
    <row r="115" spans="1:21" s="10" customFormat="1" ht="14" x14ac:dyDescent="0.15">
      <c r="A115" s="129"/>
      <c r="B115" s="74">
        <v>101</v>
      </c>
      <c r="C115" s="74">
        <v>102</v>
      </c>
      <c r="D115" s="158"/>
      <c r="E115" s="74">
        <v>201</v>
      </c>
      <c r="F115" s="158"/>
      <c r="G115" s="74">
        <v>301</v>
      </c>
      <c r="H115" s="138">
        <v>302</v>
      </c>
      <c r="I115" s="159"/>
      <c r="J115" s="75">
        <v>401</v>
      </c>
      <c r="K115" s="159"/>
      <c r="L115" s="159"/>
      <c r="M115" s="159"/>
      <c r="N115" s="159"/>
      <c r="O115" s="159"/>
      <c r="P115" s="159"/>
      <c r="Q115" s="159"/>
      <c r="R115" s="174" t="s">
        <v>106</v>
      </c>
      <c r="S115" s="76" t="s">
        <v>107</v>
      </c>
      <c r="T115" s="11"/>
      <c r="U115" s="12"/>
    </row>
    <row r="116" spans="1:21" s="10" customFormat="1" ht="17" x14ac:dyDescent="0.25">
      <c r="A116" s="72" t="s">
        <v>99</v>
      </c>
      <c r="B116" s="131">
        <v>0</v>
      </c>
      <c r="C116" s="131">
        <v>3</v>
      </c>
      <c r="D116" s="172">
        <f>SUM(B116:C116)</f>
        <v>3</v>
      </c>
      <c r="E116" s="131">
        <v>0</v>
      </c>
      <c r="F116" s="168">
        <f>SUM(E116)</f>
        <v>0</v>
      </c>
      <c r="G116" s="131">
        <v>0</v>
      </c>
      <c r="H116" s="132">
        <v>1</v>
      </c>
      <c r="I116" s="172">
        <f>SUM(G116:H116)</f>
        <v>1</v>
      </c>
      <c r="J116" s="131">
        <v>0</v>
      </c>
      <c r="K116" s="172">
        <f>SUM(J116)</f>
        <v>0</v>
      </c>
      <c r="L116" s="72"/>
      <c r="M116" s="72"/>
      <c r="N116" s="72"/>
      <c r="O116" s="72"/>
      <c r="P116" s="72"/>
      <c r="Q116" s="72"/>
      <c r="R116" s="175">
        <f>SUM(L116+M116+N116+O116+P116+Q116)</f>
        <v>0</v>
      </c>
      <c r="S116" s="173">
        <f>SUM(B116+C116+E116+G116+H116+J116+R116)</f>
        <v>4</v>
      </c>
      <c r="T116" s="11"/>
      <c r="U116" s="12"/>
    </row>
    <row r="117" spans="1:21" s="10" customFormat="1" ht="17" x14ac:dyDescent="0.25">
      <c r="A117" s="160" t="s">
        <v>22</v>
      </c>
      <c r="B117" s="146"/>
      <c r="C117" s="146"/>
      <c r="D117" s="172"/>
      <c r="E117" s="146"/>
      <c r="F117" s="168">
        <f>SUM(E117)</f>
        <v>0</v>
      </c>
      <c r="G117" s="146"/>
      <c r="H117" s="132"/>
      <c r="I117" s="172">
        <f>SUM(G117:H117)</f>
        <v>0</v>
      </c>
      <c r="J117" s="146"/>
      <c r="K117" s="172">
        <f>SUM(J117)</f>
        <v>0</v>
      </c>
      <c r="L117" s="72"/>
      <c r="M117" s="72"/>
      <c r="N117" s="72"/>
      <c r="O117" s="72"/>
      <c r="P117" s="72"/>
      <c r="Q117" s="72"/>
      <c r="R117" s="175">
        <f>SUM(L117+M117+N117+O117+P117+Q117)</f>
        <v>0</v>
      </c>
      <c r="S117" s="173">
        <f>SUM(B117+C117+E117+G117+H117+J117+R117)</f>
        <v>0</v>
      </c>
      <c r="T117" s="11"/>
      <c r="U117" s="12"/>
    </row>
    <row r="118" spans="1:21" s="10" customFormat="1" ht="15" customHeight="1" x14ac:dyDescent="0.15">
      <c r="A118" s="160"/>
      <c r="B118" s="53"/>
      <c r="C118" s="53"/>
      <c r="D118" s="50"/>
      <c r="E118" s="53"/>
      <c r="F118" s="50"/>
      <c r="G118" s="50"/>
      <c r="H118" s="136"/>
      <c r="I118" s="50"/>
      <c r="J118" s="50"/>
      <c r="K118" s="50"/>
      <c r="L118" s="72"/>
      <c r="M118" s="72"/>
      <c r="N118" s="72"/>
      <c r="O118" s="72"/>
      <c r="P118" s="72"/>
      <c r="Q118" s="72"/>
      <c r="R118" s="22"/>
      <c r="S118" s="169"/>
      <c r="T118" s="11"/>
      <c r="U118" s="12"/>
    </row>
    <row r="119" spans="1:21" s="10" customFormat="1" ht="17" x14ac:dyDescent="0.25">
      <c r="A119" s="73" t="s">
        <v>16</v>
      </c>
      <c r="B119" s="161"/>
      <c r="C119" s="161"/>
      <c r="D119" s="162"/>
      <c r="E119" s="161"/>
      <c r="F119" s="162"/>
      <c r="G119" s="162"/>
      <c r="H119" s="163"/>
      <c r="I119" s="162"/>
      <c r="J119" s="162"/>
      <c r="K119" s="162"/>
      <c r="L119" s="162"/>
      <c r="M119" s="162"/>
      <c r="N119" s="162"/>
      <c r="O119" s="162"/>
      <c r="P119" s="162"/>
      <c r="Q119" s="162"/>
      <c r="R119" s="156"/>
      <c r="S119" s="164"/>
      <c r="T119" s="11"/>
      <c r="U119" s="12"/>
    </row>
    <row r="120" spans="1:21" s="10" customFormat="1" x14ac:dyDescent="0.15">
      <c r="A120" s="51"/>
      <c r="B120" s="9"/>
      <c r="C120" s="9"/>
      <c r="D120" s="34"/>
      <c r="E120" s="9"/>
      <c r="F120" s="34"/>
      <c r="G120" s="34"/>
      <c r="H120" s="137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11"/>
      <c r="U120" s="12"/>
    </row>
    <row r="121" spans="1:21" s="10" customFormat="1" ht="17" x14ac:dyDescent="0.25">
      <c r="A121" s="52" t="s">
        <v>17</v>
      </c>
      <c r="B121" s="50">
        <v>193</v>
      </c>
      <c r="C121" s="50">
        <v>304</v>
      </c>
      <c r="D121" s="162"/>
      <c r="E121" s="50">
        <v>679</v>
      </c>
      <c r="F121" s="162"/>
      <c r="G121" s="50">
        <v>216</v>
      </c>
      <c r="H121" s="136">
        <v>294</v>
      </c>
      <c r="I121" s="162"/>
      <c r="J121" s="50">
        <v>552</v>
      </c>
      <c r="K121" s="162"/>
      <c r="L121" s="162"/>
      <c r="M121" s="162"/>
      <c r="N121" s="162"/>
      <c r="O121" s="162"/>
      <c r="P121" s="162"/>
      <c r="Q121" s="162"/>
      <c r="R121" s="176"/>
      <c r="S121" s="117">
        <f>SUM(B121+C121+E121+G121+H121+J121)</f>
        <v>2238</v>
      </c>
    </row>
    <row r="122" spans="1:21" s="10" customFormat="1" ht="14" x14ac:dyDescent="0.15">
      <c r="A122" s="9"/>
      <c r="B122" s="13"/>
      <c r="C122" s="13"/>
      <c r="D122" s="13"/>
      <c r="E122" s="13"/>
      <c r="F122" s="66"/>
      <c r="G122" s="13"/>
      <c r="H122" s="135"/>
      <c r="I122" s="13"/>
      <c r="J122" s="13"/>
      <c r="K122" s="13"/>
      <c r="L122" s="156"/>
      <c r="M122" s="156"/>
      <c r="N122" s="156"/>
      <c r="O122" s="156"/>
      <c r="P122" s="156"/>
      <c r="Q122" s="156"/>
      <c r="R122" s="177"/>
      <c r="S122" s="177"/>
    </row>
    <row r="123" spans="1:21" ht="17" x14ac:dyDescent="0.25">
      <c r="A123" s="53" t="s">
        <v>18</v>
      </c>
      <c r="B123" s="72">
        <v>38</v>
      </c>
      <c r="C123" s="72">
        <v>83</v>
      </c>
      <c r="D123" s="66"/>
      <c r="E123" s="72">
        <v>128</v>
      </c>
      <c r="F123" s="66"/>
      <c r="G123" s="72">
        <v>39</v>
      </c>
      <c r="H123" s="157">
        <v>96</v>
      </c>
      <c r="I123" s="66"/>
      <c r="J123" s="72">
        <v>108</v>
      </c>
      <c r="K123" s="66"/>
      <c r="L123" s="169">
        <v>85</v>
      </c>
      <c r="M123" s="169">
        <v>113</v>
      </c>
      <c r="N123" s="169">
        <v>286</v>
      </c>
      <c r="O123" s="169">
        <v>75</v>
      </c>
      <c r="P123" s="169">
        <v>72</v>
      </c>
      <c r="Q123" s="169">
        <v>170</v>
      </c>
      <c r="R123" s="175">
        <f>SUM(L123:Q123)</f>
        <v>801</v>
      </c>
      <c r="S123" s="173">
        <f>SUM(R123,J123,H123,G123,E123,C123,B123)</f>
        <v>1293</v>
      </c>
    </row>
    <row r="124" spans="1:21" x14ac:dyDescent="0.15">
      <c r="A124" s="150"/>
      <c r="B124" s="151"/>
      <c r="C124" s="152"/>
      <c r="D124" s="152"/>
      <c r="E124" s="152"/>
      <c r="F124" s="153"/>
      <c r="G124" s="154"/>
      <c r="H124" s="155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</row>
  </sheetData>
  <customSheetViews>
    <customSheetView guid="{013A5C40-B4B1-11D4-AB64-444553540000}" showRuler="0">
      <selection activeCell="E3" sqref="E3"/>
      <rowBreaks count="2" manualBreakCount="2">
        <brk id="38" max="16383" man="1"/>
        <brk id="70" max="16383" man="1"/>
      </rowBreaks>
      <pageMargins left="0" right="0" top="0.5" bottom="0" header="0.25" footer="0"/>
      <printOptions horizontalCentered="1" verticalCentered="1"/>
      <pageSetup paperSize="5" scale="87" orientation="landscape" horizontalDpi="4294967292" verticalDpi="0" r:id="rId1"/>
      <headerFooter alignWithMargins="0">
        <oddHeader xml:space="preserve">&amp;LGeneral Election&amp;CDONLEY COUNTY&amp;RNovember 7, 2000
</oddHeader>
      </headerFooter>
    </customSheetView>
  </customSheetViews>
  <phoneticPr fontId="0" type="noConversion"/>
  <printOptions horizontalCentered="1" verticalCentered="1"/>
  <pageMargins left="0" right="0" top="0" bottom="0" header="0.25" footer="0"/>
  <pageSetup scale="64" orientation="landscape" r:id="rId2"/>
  <headerFooter alignWithMargins="0">
    <oddHeader>&amp;LGeneral Election&amp;CDONLEY COUNTY&amp;RNovember 6, 2018</oddHeader>
  </headerFooter>
  <rowBreaks count="3" manualBreakCount="3">
    <brk id="31" max="16383" man="1"/>
    <brk id="59" max="16383" man="1"/>
    <brk id="90" max="16383" man="1"/>
  </rowBreaks>
  <colBreaks count="1" manualBreakCount="1">
    <brk id="1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BJE</dc:creator>
  <cp:lastModifiedBy>Derek Willis</cp:lastModifiedBy>
  <cp:lastPrinted>2018-11-13T22:22:46Z</cp:lastPrinted>
  <dcterms:created xsi:type="dcterms:W3CDTF">2000-11-06T21:57:14Z</dcterms:created>
  <dcterms:modified xsi:type="dcterms:W3CDTF">2019-03-01T12:43:25Z</dcterms:modified>
</cp:coreProperties>
</file>